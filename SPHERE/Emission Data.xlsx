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0C056CF3-FD78-49E1-872E-EDA13741805B}" xr6:coauthVersionLast="47" xr6:coauthVersionMax="47" xr10:uidLastSave="{00000000-0000-0000-0000-000000000000}"/>
  <bookViews>
    <workbookView xWindow="-108" yWindow="-108" windowWidth="23256" windowHeight="12456" firstSheet="19" activeTab="27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Sheet1" sheetId="30" r:id="rId12"/>
    <sheet name="YCM" sheetId="25" r:id="rId13"/>
    <sheet name="Amada" sheetId="26" r:id="rId14"/>
    <sheet name="Mazak" sheetId="27" r:id="rId15"/>
    <sheet name="GWP of GHG_gases" sheetId="18" r:id="rId16"/>
    <sheet name="Packaging" sheetId="16" r:id="rId17"/>
    <sheet name="Manufacturing" sheetId="15" r:id="rId18"/>
    <sheet name="Test Page" sheetId="3" r:id="rId19"/>
    <sheet name="Transport Test Page" sheetId="5" r:id="rId20"/>
    <sheet name="Van" sheetId="6" r:id="rId21"/>
    <sheet name="HGV" sheetId="7" r:id="rId22"/>
    <sheet name="Freight Flight" sheetId="8" r:id="rId23"/>
    <sheet name="Rail" sheetId="9" r:id="rId24"/>
    <sheet name="Ship" sheetId="10" r:id="rId25"/>
    <sheet name="Usage" sheetId="23" r:id="rId26"/>
    <sheet name="End-of-Life" sheetId="28" r:id="rId27"/>
    <sheet name="Sheet5" sheetId="33" r:id="rId28"/>
  </sheets>
  <definedNames>
    <definedName name="_xlnm._FilterDatabase" localSheetId="15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<sst xmlns="http://schemas.openxmlformats.org/spreadsheetml/2006/main" count="3258" uniqueCount="1203">
  <si>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</si>
  <si>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</si>
  <si>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</si>
  <si>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</si>
  <si>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</si>
  <si>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</si>
  <si>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</si>
  <si>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</si>
  <si>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</si>
  <si>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</si>
  <si>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</si>
  <si>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</si>
  <si>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</si>
  <si>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</si>
  <si>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</si>
  <si>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</si>
  <si>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</si>
  <si>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</si>
  <si>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</si>
  <si>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</si>
  <si>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</si>
  <si>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</si>
  <si>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</si>
  <si>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</si>
  <si>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</si>
  <si>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</si>
  <si>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</si>
  <si>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</si>
  <si>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</si>
  <si>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</si>
  <si>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</si>
  <si>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</si>
  <si>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</si>
  <si>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</si>
  <si>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</si>
  <si>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</si>
  <si>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</si>
  <si>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</si>
  <si>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</si>
  <si>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</si>
  <si>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</si>
  <si>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</si>
  <si>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</si>
  <si>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</si>
  <si>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</si>
  <si>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</si>
  <si>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</si>
  <si>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</si>
  <si>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</si>
  <si>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</si>
  <si>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</si>
  <si>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</si>
  <si>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</si>
  <si>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</si>
  <si>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</si>
  <si>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</si>
  <si>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</si>
  <si>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</si>
  <si>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</si>
  <si>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</si>
  <si>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</si>
  <si>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</si>
  <si>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</si>
  <si>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</si>
  <si>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</si>
  <si>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</si>
  <si>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</si>
  <si>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</si>
  <si>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</si>
  <si>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</si>
  <si>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</si>
  <si>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</si>
  <si>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</si>
  <si>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</si>
  <si>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</si>
  <si>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</si>
  <si>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</si>
  <si>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</si>
  <si>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</si>
  <si>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</si>
  <si>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</si>
  <si>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</si>
  <si>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</si>
  <si>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</si>
  <si>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</si>
  <si>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</si>
  <si>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</si>
  <si>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</si>
  <si>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</si>
  <si>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</si>
  <si>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</si>
  <si>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</si>
  <si>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</si>
  <si>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</si>
  <si>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</si>
  <si>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</si>
  <si>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</si>
  <si>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</si>
  <si>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</si>
  <si>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</si>
  <si>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</si>
  <si>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</si>
  <si>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</si>
  <si>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</si>
  <si>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</si>
  <si>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</si>
  <si>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</si>
  <si>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</si>
  <si>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</si>
  <si>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</si>
  <si>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</si>
  <si>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</si>
  <si>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</si>
  <si>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</si>
  <si>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</si>
  <si>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</si>
  <si>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</si>
  <si>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</si>
  <si>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</si>
  <si>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</si>
  <si>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</si>
  <si>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</si>
  <si>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</si>
  <si>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</si>
  <si>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</si>
  <si>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</si>
  <si>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</si>
  <si>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</si>
  <si>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</si>
  <si>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</si>
  <si>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</si>
  <si>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</si>
  <si>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</si>
  <si>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</si>
  <si>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</si>
  <si>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</si>
  <si>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</si>
  <si>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</si>
  <si>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</si>
  <si>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</si>
  <si>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</si>
  <si>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</si>
  <si>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</si>
  <si>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</si>
  <si>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</si>
  <si>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</si>
  <si>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</si>
  <si>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</si>
  <si>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</si>
  <si>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</si>
  <si>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</si>
  <si>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</si>
  <si>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</si>
  <si>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</si>
  <si>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</si>
  <si>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</si>
  <si>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</si>
  <si>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</si>
  <si>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</si>
  <si>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</si>
  <si>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</si>
  <si>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</si>
  <si>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</si>
  <si>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</si>
  <si>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</si>
  <si>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</si>
  <si>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</si>
  <si>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</si>
  <si>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</si>
  <si>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</si>
  <si>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</si>
  <si>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</si>
  <si>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</si>
  <si>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</si>
  <si>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</si>
  <si>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</si>
  <si>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</si>
  <si>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</si>
  <si>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</si>
  <si>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</si>
  <si>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</si>
  <si>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</si>
  <si>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</si>
  <si>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</si>
  <si>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</si>
  <si>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</si>
  <si>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</si>
  <si>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</si>
  <si>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</si>
  <si>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</si>
  <si>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</si>
  <si>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</si>
  <si>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</si>
  <si>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</si>
  <si>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</si>
  <si>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</si>
  <si>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</si>
  <si>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</si>
  <si>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</si>
  <si>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</si>
  <si>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</si>
  <si>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</si>
  <si>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</si>
  <si>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</si>
  <si>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</si>
  <si>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</si>
  <si>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</si>
  <si>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</si>
  <si>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</si>
  <si>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</si>
  <si>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</si>
  <si>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</si>
  <si>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</si>
  <si>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</si>
  <si>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</si>
  <si>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</si>
  <si>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</si>
  <si>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</si>
  <si>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</si>
  <si>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</si>
  <si>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</si>
  <si>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</si>
  <si>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</si>
  <si>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</si>
  <si>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</si>
  <si>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</si>
  <si>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</si>
  <si>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</si>
  <si>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</si>
  <si>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</si>
  <si>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</si>
  <si>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</si>
  <si>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</si>
  <si>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</si>
  <si>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</si>
  <si>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</si>
  <si>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</si>
  <si>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</si>
  <si>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</si>
  <si>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</si>
  <si>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</si>
  <si>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</si>
  <si>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</si>
  <si>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</si>
  <si>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</si>
  <si>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</si>
  <si>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</si>
  <si>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</si>
  <si>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</si>
  <si>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</si>
  <si>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</si>
  <si>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</si>
  <si>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</si>
  <si>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</si>
  <si>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</si>
  <si>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</si>
  <si>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</si>
  <si>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</si>
  <si>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</si>
  <si>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</si>
  <si>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</si>
  <si>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</si>
  <si>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</si>
  <si>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</si>
  <si>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</si>
  <si>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</si>
  <si>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</si>
  <si>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</si>
  <si>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</si>
  <si>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</si>
  <si>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</si>
  <si>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</si>
  <si>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</si>
  <si>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</si>
  <si>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</si>
  <si>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</si>
  <si>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</si>
  <si>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</si>
  <si>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</si>
  <si>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</si>
  <si>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</si>
  <si>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</si>
  <si>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</si>
  <si>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</si>
  <si>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</si>
  <si>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</si>
  <si>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</si>
  <si>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</si>
  <si>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</si>
  <si>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</si>
  <si>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</si>
  <si>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</si>
  <si>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</si>
  <si>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</si>
  <si>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</si>
  <si>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</si>
  <si>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</si>
  <si>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</si>
  <si>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</si>
  <si>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</si>
  <si>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</si>
  <si>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</si>
  <si>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</si>
  <si>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</si>
  <si>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</si>
  <si>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</si>
  <si>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</si>
  <si>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</si>
  <si>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</si>
  <si>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</si>
  <si>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</si>
  <si>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</si>
  <si>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</si>
  <si>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</si>
  <si>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</si>
  <si>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</si>
  <si>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</si>
  <si>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</si>
  <si>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</si>
  <si>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</si>
  <si>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</si>
  <si>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</si>
  <si>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</si>
  <si>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</si>
  <si>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</si>
  <si>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</si>
  <si>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</si>
  <si>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</si>
  <si>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</si>
  <si>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</si>
  <si>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</si>
  <si>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</si>
  <si>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</si>
  <si>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</si>
  <si>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</si>
  <si>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</si>
  <si>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</si>
  <si>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</si>
  <si>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</si>
  <si>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</si>
  <si>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</si>
  <si>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</si>
  <si>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</si>
  <si>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</si>
  <si>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</si>
  <si>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</si>
  <si>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</si>
  <si>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</si>
  <si>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</si>
  <si>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</si>
  <si>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</si>
  <si>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</si>
  <si>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</si>
  <si>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</si>
  <si>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</si>
  <si>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</si>
  <si>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</si>
  <si>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</si>
  <si>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</si>
  <si>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</si>
  <si>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</si>
  <si>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</si>
  <si>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</si>
  <si>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</si>
  <si>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</si>
  <si>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</si>
  <si>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</si>
  <si>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</si>
  <si>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</si>
  <si>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</si>
  <si>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</si>
  <si>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</si>
  <si>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</si>
  <si>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</si>
  <si>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</si>
  <si>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</si>
  <si>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</si>
  <si>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</si>
  <si>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</si>
  <si>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</si>
  <si>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</si>
  <si>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</si>
  <si>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</si>
  <si>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</si>
  <si>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</si>
  <si>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</si>
  <si>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</si>
  <si>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</si>
  <si>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</si>
  <si>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</si>
  <si>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</si>
  <si>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</si>
  <si>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</si>
  <si>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</si>
  <si>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</si>
  <si>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</si>
  <si>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</si>
  <si>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</si>
  <si>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</si>
  <si>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</si>
  <si>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</si>
  <si>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</si>
  <si>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</si>
  <si>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</si>
  <si>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</si>
  <si>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</si>
  <si>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</si>
  <si>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</si>
  <si>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</si>
  <si>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</si>
  <si>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</si>
  <si>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</si>
  <si>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</si>
  <si>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</si>
  <si>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</si>
  <si>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</si>
  <si>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</si>
  <si>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</si>
  <si>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</si>
  <si>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</si>
  <si>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</si>
  <si>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</si>
  <si>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</si>
  <si>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</si>
  <si>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</si>
  <si>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</si>
  <si>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</si>
  <si>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</si>
  <si>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</si>
  <si>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</si>
  <si>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</si>
  <si>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</si>
  <si>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</si>
  <si>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</si>
  <si>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</si>
  <si>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</si>
  <si>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</si>
  <si>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</si>
  <si>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</si>
  <si>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</si>
  <si>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</si>
  <si>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</si>
  <si>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</si>
  <si>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</si>
  <si>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</si>
  <si>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</si>
  <si>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</si>
  <si>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</si>
  <si>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</si>
  <si>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</si>
  <si>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</si>
  <si>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</si>
  <si>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</si>
  <si>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</si>
  <si>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</si>
  <si>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</si>
  <si>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</si>
  <si>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</si>
  <si>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</si>
  <si>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</si>
  <si>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</si>
  <si>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</si>
  <si>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</si>
  <si>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</si>
  <si>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</si>
  <si>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</si>
  <si>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</si>
  <si>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</si>
  <si>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</si>
  <si>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</si>
  <si>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</si>
  <si>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</si>
  <si>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</si>
  <si>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</si>
  <si>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</si>
  <si>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</si>
  <si>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</si>
  <si>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</si>
  <si>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</si>
  <si>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</si>
  <si>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</si>
  <si>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</si>
  <si>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</si>
  <si>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</si>
  <si>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</si>
  <si>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</si>
  <si>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</si>
  <si>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</si>
  <si>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</si>
  <si>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</si>
  <si>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</si>
  <si>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</si>
  <si>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</si>
  <si>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</si>
  <si>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</si>
  <si>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</si>
  <si>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</si>
  <si>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</si>
  <si>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</si>
  <si>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</si>
  <si>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</si>
  <si>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</si>
  <si>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</si>
  <si>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</si>
  <si>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</si>
  <si>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</si>
  <si>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</si>
  <si>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</si>
  <si>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</si>
  <si>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</si>
  <si>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</si>
  <si>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</si>
  <si>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</si>
  <si>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</si>
  <si>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</si>
  <si>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</si>
  <si>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</si>
  <si>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</si>
  <si>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</si>
  <si>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</si>
  <si>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</si>
  <si>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</si>
  <si>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</si>
  <si>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</si>
  <si>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</si>
  <si>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</si>
  <si>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</si>
  <si>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</si>
  <si>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</si>
  <si>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</si>
  <si>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</si>
  <si>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</si>
  <si>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</si>
  <si>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</si>
  <si>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</si>
  <si>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</si>
  <si>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</si>
  <si>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</si>
  <si>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</si>
  <si>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</si>
  <si>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</si>
  <si>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</si>
  <si>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</si>
  <si>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</si>
  <si>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</si>
  <si>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</si>
  <si>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</si>
  <si>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</si>
  <si>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</si>
  <si>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</si>
  <si>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</si>
  <si>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</si>
  <si>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</si>
  <si>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</si>
  <si>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</si>
  <si>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</si>
  <si>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</si>
  <si>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</si>
  <si>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</si>
  <si>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</si>
  <si>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</si>
  <si>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</si>
  <si>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</si>
  <si>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</si>
  <si>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</si>
  <si>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</si>
  <si>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</si>
  <si>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</si>
  <si>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</si>
  <si>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</si>
  <si>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</si>
  <si>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</si>
  <si>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</si>
  <si>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</si>
  <si>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</si>
  <si>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</si>
  <si>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</si>
  <si>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</si>
  <si>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</si>
  <si>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</si>
  <si>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</si>
  <si>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</si>
  <si>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</si>
  <si>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</si>
  <si>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</si>
  <si>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</si>
  <si>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</si>
  <si>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</si>
  <si>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</si>
  <si>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</si>
  <si>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</si>
  <si>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</si>
  <si>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</si>
  <si>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</si>
  <si>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</si>
  <si>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</si>
  <si>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</si>
  <si>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</si>
  <si>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</si>
  <si>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</si>
  <si>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</si>
  <si>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</si>
  <si>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</si>
  <si>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</si>
  <si>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</si>
  <si>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</si>
  <si>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</si>
  <si>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</si>
  <si>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</si>
  <si>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</si>
  <si>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</si>
  <si>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</si>
  <si>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</si>
  <si>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</si>
  <si>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</si>
  <si>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</si>
  <si>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</si>
  <si>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</si>
  <si>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</si>
  <si>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</si>
  <si>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</si>
  <si>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</si>
  <si>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</si>
  <si>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</si>
  <si>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</si>
  <si>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</si>
  <si>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</si>
  <si>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</si>
  <si>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</si>
  <si>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</si>
  <si>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</si>
  <si>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</si>
  <si>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</si>
  <si>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</si>
  <si>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</si>
  <si>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</si>
  <si>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</si>
  <si>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</si>
  <si>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</si>
  <si>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</si>
  <si>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</si>
  <si>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</si>
  <si>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</si>
  <si>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</si>
  <si>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</si>
  <si>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</si>
  <si>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</si>
  <si>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</si>
  <si>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</si>
  <si>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</si>
  <si>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</si>
  <si>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</si>
  <si>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</si>
  <si>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</si>
  <si>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</si>
  <si>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</si>
  <si>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</si>
  <si>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</si>
  <si>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</si>
  <si>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</si>
  <si>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</si>
  <si>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</si>
  <si>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</si>
  <si>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</si>
  <si>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</si>
  <si>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</si>
  <si>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</si>
  <si>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</si>
  <si>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</si>
  <si>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</si>
  <si>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</si>
  <si>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</si>
  <si>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</si>
  <si>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</si>
  <si>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</si>
  <si>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</si>
  <si>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</si>
  <si>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</si>
  <si>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</si>
  <si>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</si>
  <si>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</si>
  <si>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</si>
  <si>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</si>
  <si>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</si>
  <si>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</si>
  <si>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</si>
  <si>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</si>
  <si>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</si>
  <si>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</si>
  <si>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</si>
  <si>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</si>
  <si>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</si>
  <si>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</si>
  <si>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</si>
  <si>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</si>
  <si>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</si>
  <si>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</si>
  <si>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</si>
  <si>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</si>
  <si>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</si>
  <si>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</si>
  <si>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</si>
  <si>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</si>
  <si>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</si>
  <si>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</si>
  <si>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</si>
  <si>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</si>
  <si>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</si>
  <si>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</si>
  <si>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</si>
  <si>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</si>
  <si>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</si>
  <si>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</si>
  <si>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</si>
  <si>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</si>
  <si>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</si>
  <si>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</si>
  <si>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</si>
  <si>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</si>
  <si>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</si>
  <si>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</si>
  <si>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</si>
  <si>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</si>
  <si>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</si>
  <si>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</si>
  <si>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</si>
  <si>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</si>
  <si>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</si>
  <si>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</si>
  <si>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</si>
  <si>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</si>
  <si>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</si>
  <si>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</si>
  <si>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</si>
  <si>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</si>
  <si>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</si>
  <si>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</si>
  <si>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</si>
  <si>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</si>
  <si>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</si>
  <si>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</si>
  <si>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</si>
  <si>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</si>
  <si>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</si>
  <si>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</si>
  <si>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</si>
  <si>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</si>
  <si>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</si>
  <si>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</si>
  <si>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</si>
  <si>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</si>
  <si>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</si>
  <si>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</si>
  <si>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</si>
  <si>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</si>
  <si>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</si>
  <si>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</si>
  <si>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</si>
  <si>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</si>
  <si>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</si>
  <si>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</si>
  <si>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</si>
  <si>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</si>
  <si>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</si>
  <si>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</si>
  <si>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</si>
  <si>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</si>
  <si>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</si>
  <si>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</si>
  <si>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</si>
  <si>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</si>
  <si>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</si>
  <si>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</si>
  <si>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</si>
  <si>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</si>
  <si>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</si>
  <si>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</si>
  <si>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</si>
  <si>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</si>
  <si>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</si>
  <si>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</si>
  <si>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</si>
  <si>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</si>
  <si>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</si>
  <si>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</si>
  <si>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</si>
  <si>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</si>
  <si>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</si>
  <si>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</si>
  <si>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</si>
  <si>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</si>
  <si>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</si>
  <si>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</si>
  <si>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</si>
  <si>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</si>
  <si>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</si>
  <si>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</si>
  <si>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</si>
  <si>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</si>
  <si>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</si>
  <si>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</si>
  <si>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</si>
  <si>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</si>
  <si>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</si>
  <si>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</si>
  <si>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</si>
  <si>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</si>
  <si>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</si>
  <si>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</si>
  <si>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</si>
  <si>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</si>
  <si>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</si>
  <si>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</si>
  <si>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</si>
  <si>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</si>
  <si>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</si>
  <si>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</si>
  <si>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</si>
  <si>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</si>
  <si>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</si>
  <si>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</si>
  <si>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</si>
  <si>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</si>
  <si>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</si>
  <si>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</si>
  <si>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</si>
  <si>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</si>
  <si>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</si>
  <si>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</si>
  <si>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</si>
  <si>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</si>
  <si>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</si>
  <si>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</si>
  <si>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</si>
  <si>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</si>
  <si>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</si>
  <si>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</si>
  <si>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</si>
  <si>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</si>
  <si>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</si>
  <si>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</si>
  <si>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</si>
  <si>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</si>
  <si>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</si>
  <si>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</si>
  <si>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</si>
  <si>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</si>
  <si>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</si>
  <si>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</si>
  <si>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</si>
  <si>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</si>
  <si>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</si>
  <si>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</si>
  <si>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</si>
  <si>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</si>
  <si>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</si>
  <si>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</si>
  <si>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</si>
  <si>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</si>
  <si>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</si>
  <si>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</si>
  <si>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</si>
  <si>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</si>
  <si>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</si>
  <si>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</si>
  <si>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</si>
  <si>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</si>
  <si>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</si>
  <si>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</si>
  <si>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</si>
  <si>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</si>
  <si>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</si>
  <si>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</si>
  <si>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</si>
  <si>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</si>
  <si>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</si>
  <si>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</si>
  <si>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</si>
  <si>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</si>
  <si>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</si>
  <si>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</si>
  <si>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</si>
  <si>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</si>
  <si>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</si>
  <si>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</si>
  <si>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</si>
  <si>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</si>
  <si>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</si>
  <si>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</si>
  <si>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</si>
  <si>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</si>
  <si>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</si>
  <si>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</si>
  <si>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</si>
  <si>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</si>
  <si>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</si>
  <si>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</si>
  <si>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</si>
  <si>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</si>
  <si>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</si>
  <si>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</si>
  <si>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</si>
  <si>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</si>
  <si>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</si>
  <si>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</si>
  <si>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</si>
  <si>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</si>
  <si>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</si>
  <si>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</si>
  <si>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</si>
  <si>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</si>
  <si>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</si>
  <si>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</si>
  <si>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</si>
  <si>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</si>
  <si>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</si>
  <si>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</si>
  <si>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</si>
  <si>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</si>
  <si>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</si>
  <si>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</si>
  <si>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</si>
  <si>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</si>
  <si>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</si>
  <si>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</si>
  <si>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</si>
  <si>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</si>
  <si>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</si>
  <si>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</si>
  <si>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</si>
  <si>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</si>
  <si>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</si>
  <si>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</si>
  <si>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</si>
  <si>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</si>
  <si>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</si>
  <si>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</si>
  <si>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</si>
  <si>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</si>
  <si>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</si>
  <si>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</si>
  <si>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</si>
  <si>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</si>
  <si>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</si>
  <si>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</si>
  <si>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</si>
  <si>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</si>
  <si>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</si>
  <si>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</si>
  <si>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</si>
  <si>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</si>
  <si>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</si>
  <si>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</si>
  <si>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</si>
  <si>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</si>
  <si>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</si>
  <si>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</si>
  <si>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</si>
  <si>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</si>
  <si>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</si>
  <si>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</si>
  <si>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</si>
  <si>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</si>
  <si>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</si>
  <si>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</si>
  <si>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</si>
  <si>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</si>
  <si>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</si>
  <si>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</si>
  <si>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</si>
  <si>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</si>
  <si>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</si>
  <si>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</si>
  <si>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</si>
  <si>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</si>
  <si>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</si>
  <si>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</si>
  <si>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</si>
  <si>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</si>
  <si>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</si>
  <si>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</si>
  <si>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</si>
  <si>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</si>
  <si>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</si>
  <si>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</si>
  <si>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</si>
  <si>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</si>
  <si>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</si>
  <si>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</si>
  <si>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</si>
  <si>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</si>
  <si>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</si>
  <si>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</si>
  <si>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</si>
  <si>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</si>
  <si>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</si>
  <si>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</si>
  <si>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</si>
  <si>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</si>
  <si>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</si>
  <si>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</si>
  <si>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</si>
  <si>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</si>
  <si>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</si>
  <si>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</si>
  <si>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</si>
  <si>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</si>
  <si>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</si>
  <si>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</si>
  <si>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</si>
  <si>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</si>
  <si>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</si>
  <si>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</si>
  <si>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</si>
  <si>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</si>
  <si>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</si>
  <si>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</si>
  <si>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</si>
  <si>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</si>
  <si>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</si>
  <si>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</si>
  <si>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</si>
  <si>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</si>
  <si>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</si>
  <si>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</si>
  <si>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</si>
  <si>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</si>
  <si>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</si>
  <si>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</si>
  <si>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</si>
  <si>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</si>
  <si>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</si>
  <si>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</si>
  <si>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</si>
  <si>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</si>
  <si>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</si>
  <si>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</si>
  <si>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</si>
  <si>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</si>
  <si>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</si>
  <si>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</si>
  <si>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</si>
  <si>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</si>
  <si>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</si>
  <si>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</si>
  <si>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</si>
  <si>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</si>
  <si>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</si>
  <si>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</si>
  <si>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</si>
  <si>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</si>
  <si>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</si>
  <si>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</si>
  <si>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</si>
  <si>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</si>
  <si>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</si>
  <si>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</si>
  <si>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</si>
  <si>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</si>
  <si>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</si>
  <si>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</si>
  <si>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</si>
  <si>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</si>
  <si>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</si>
  <si>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</si>
  <si>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</si>
  <si>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</si>
  <si>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</si>
  <si>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</si>
  <si>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</si>
  <si>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</si>
  <si>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</si>
  <si>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</si>
  <si>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</si>
  <si>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</si>
  <si>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</si>
  <si>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</si>
  <si>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</si>
  <si>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</si>
  <si>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</si>
  <si>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</si>
  <si>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</si>
  <si>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</si>
  <si>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</si>
  <si>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</si>
  <si>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</si>
  <si>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</si>
  <si>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</si>
  <si>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</si>
  <si>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</si>
  <si>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</si>
  <si>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</si>
  <si>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</si>
  <si>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</si>
  <si>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</si>
  <si>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</si>
  <si>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</si>
  <si>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</si>
  <si>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</si>
  <si>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</si>
  <si>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</si>
  <si>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</si>
  <si>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</si>
  <si>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</si>
  <si>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</si>
  <si>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</si>
  <si>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</si>
  <si>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</si>
  <si>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</si>
  <si>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</si>
  <si>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</si>
  <si>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</si>
  <si>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</si>
  <si>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</si>
  <si>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</si>
  <si>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</si>
  <si>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</si>
  <si>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</si>
  <si>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</si>
  <si>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</si>
  <si>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</si>
  <si>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</si>
  <si>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</si>
  <si>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</si>
  <si>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</si>
  <si>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</si>
  <si>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</si>
  <si>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</si>
  <si>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</si>
  <si>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</si>
  <si>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</si>
  <si>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</si>
  <si>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</si>
  <si>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</si>
  <si>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</si>
  <si>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</si>
  <si>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</si>
  <si>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</si>
  <si>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</si>
  <si>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</si>
  <si>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</si>
  <si>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</si>
  <si>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</si>
  <si>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</si>
  <si>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</si>
  <si>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</si>
  <si>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</si>
  <si>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</si>
  <si>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</si>
  <si>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</si>
  <si>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</si>
  <si>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</si>
  <si>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</si>
  <si>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</si>
  <si>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</si>
  <si>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</si>
  <si>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</si>
  <si>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</si>
  <si>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</si>
  <si>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</si>
  <si>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</si>
  <si>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</si>
  <si>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</si>
  <si>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</si>
  <si>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</si>
  <si>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</si>
  <si>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</si>
  <si>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</si>
  <si>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</si>
  <si>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</si>
  <si>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</si>
  <si>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</si>
  <si>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</si>
  <si>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</si>
  <si>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a</t>
  </si>
  <si>
    <t>Energy</t>
  </si>
  <si>
    <t>Consumables</t>
  </si>
  <si>
    <t>Services</t>
  </si>
  <si>
    <t>v</t>
  </si>
  <si>
    <t>s</t>
  </si>
  <si>
    <t>d</t>
  </si>
  <si>
    <t>Ef</t>
  </si>
  <si>
    <t>f</t>
  </si>
  <si>
    <t>fd</t>
  </si>
  <si>
    <t>fs</t>
  </si>
  <si>
    <t>ffs</t>
  </si>
  <si>
    <t>fc</t>
  </si>
  <si>
    <t>df</t>
  </si>
  <si>
    <t>h</t>
  </si>
  <si>
    <t>Categories</t>
  </si>
  <si>
    <t>A</t>
  </si>
  <si>
    <t>B</t>
  </si>
  <si>
    <t>C</t>
  </si>
  <si>
    <t>D</t>
  </si>
  <si>
    <t>Activities</t>
  </si>
  <si>
    <t>Machine brands</t>
  </si>
  <si>
    <t>YCM</t>
  </si>
  <si>
    <t>Amada</t>
  </si>
  <si>
    <t>Mazak</t>
  </si>
  <si>
    <t>Assembly</t>
  </si>
  <si>
    <t>Welding</t>
  </si>
  <si>
    <t>Joining</t>
  </si>
  <si>
    <t xml:space="preserve">Riveting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</si>
</sst>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01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51"/>
      <c r="AE1" s="251"/>
      <c r="AF1" s="251"/>
      <c r="AG1" s="251"/>
      <c r="AH1" s="251"/>
      <c r="AI1" s="251"/>
      <c r="AJ1" s="251"/>
      <c r="AK1" s="251"/>
      <c r="AL1" s="251"/>
      <c r="AM1" s="251"/>
      <c r="AN1" s="248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</row>
    <row r="2" spans="1:53" ht="15.6" x14ac:dyDescent="0.3">
      <c r="A2" s="261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50"/>
      <c r="AE2" s="250"/>
      <c r="AF2" s="250"/>
      <c r="AG2" s="250"/>
      <c r="AH2" s="248"/>
      <c r="AI2" s="248"/>
      <c r="AJ2" s="248"/>
      <c r="AK2" s="248"/>
      <c r="AL2" s="248"/>
      <c r="AM2" s="248"/>
      <c r="AN2" s="248"/>
      <c r="AO2" s="248"/>
      <c r="AP2" s="248"/>
      <c r="AQ2" s="248"/>
      <c r="AR2" s="248"/>
      <c r="AS2" s="248"/>
      <c r="AT2" s="248"/>
      <c r="AU2" s="248"/>
      <c r="AV2" s="248"/>
      <c r="AW2" s="248"/>
      <c r="AX2" s="248"/>
      <c r="AY2" s="248"/>
      <c r="AZ2" s="248"/>
      <c r="BA2" s="248"/>
    </row>
    <row r="3" spans="1:53" x14ac:dyDescent="0.3">
      <c r="A3" s="262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62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63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61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62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62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62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62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62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62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63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58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59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59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59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59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59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59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60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61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62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63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58" t="s">
        <v>132</v>
      </c>
      <c r="B34" s="254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59"/>
      <c r="B35" s="255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59"/>
      <c r="B36" s="255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59"/>
      <c r="B37" s="255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59"/>
      <c r="B38" s="255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59"/>
      <c r="B39" s="255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59"/>
      <c r="B40" s="255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59"/>
      <c r="B41" s="255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59"/>
      <c r="B42" s="255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59"/>
      <c r="B43" s="255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59"/>
      <c r="B44" s="255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59"/>
      <c r="B45" s="255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59"/>
      <c r="B46" s="255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59"/>
      <c r="B47" s="255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59"/>
      <c r="B48" s="255"/>
      <c r="C48" s="7" t="s">
        <v>144</v>
      </c>
      <c r="D48" s="7" t="s">
        <v>123</v>
      </c>
      <c r="E48" s="11">
        <v>2.48E-3</v>
      </c>
    </row>
    <row r="49" spans="1:7" x14ac:dyDescent="0.3">
      <c r="A49" s="259"/>
      <c r="B49" s="255"/>
      <c r="C49" s="7" t="s">
        <v>145</v>
      </c>
      <c r="D49" s="7" t="s">
        <v>123</v>
      </c>
      <c r="E49" s="11">
        <v>3.47E-3</v>
      </c>
    </row>
    <row r="50" spans="1:7" x14ac:dyDescent="0.3">
      <c r="A50" s="259"/>
      <c r="B50" s="255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59"/>
      <c r="B51" s="255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59"/>
      <c r="B52" s="255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59"/>
      <c r="B53" s="255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59"/>
      <c r="B54" s="255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59"/>
      <c r="B55" s="255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59"/>
      <c r="B56" s="255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60"/>
      <c r="B57" s="256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64" t="s">
        <v>155</v>
      </c>
      <c r="B59" s="257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65"/>
      <c r="B60" s="252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65"/>
      <c r="B61" s="252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65"/>
      <c r="B62" s="252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65"/>
      <c r="B63" s="252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65"/>
      <c r="B64" s="252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65"/>
      <c r="B65" s="252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65"/>
      <c r="B66" s="252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65"/>
      <c r="B67" s="252"/>
      <c r="C67" s="7" t="s">
        <v>145</v>
      </c>
      <c r="D67" s="7" t="s">
        <v>123</v>
      </c>
      <c r="E67" s="108">
        <v>3.63E-3</v>
      </c>
    </row>
    <row r="68" spans="1:7" x14ac:dyDescent="0.3">
      <c r="A68" s="265"/>
      <c r="B68" s="252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65"/>
      <c r="B69" s="252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65"/>
      <c r="B70" s="252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65"/>
      <c r="B71" s="252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65"/>
      <c r="B72" s="252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65"/>
      <c r="B73" s="252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65"/>
      <c r="B74" s="252"/>
      <c r="C74" s="7" t="s">
        <v>168</v>
      </c>
      <c r="D74" s="7" t="s">
        <v>123</v>
      </c>
      <c r="E74" s="108">
        <v>3.81E-3</v>
      </c>
    </row>
    <row r="75" spans="1:7" x14ac:dyDescent="0.3">
      <c r="A75" s="265"/>
      <c r="B75" s="252"/>
      <c r="C75" s="7" t="s">
        <v>169</v>
      </c>
      <c r="D75" s="7" t="s">
        <v>123</v>
      </c>
      <c r="E75" s="108">
        <v>3.81E-3</v>
      </c>
    </row>
    <row r="76" spans="1:7" x14ac:dyDescent="0.3">
      <c r="A76" s="265"/>
      <c r="B76" s="252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65"/>
      <c r="B77" s="252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65"/>
      <c r="B78" s="252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65"/>
      <c r="B79" s="252"/>
      <c r="C79" s="7" t="s">
        <v>140</v>
      </c>
      <c r="D79" s="7" t="s">
        <v>123</v>
      </c>
      <c r="E79" s="108">
        <v>3.65E-3</v>
      </c>
    </row>
    <row r="80" spans="1:7" x14ac:dyDescent="0.3">
      <c r="A80" s="265"/>
      <c r="B80" s="252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65"/>
      <c r="B81" s="252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65"/>
      <c r="B82" s="252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65"/>
      <c r="B83" s="252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65"/>
      <c r="B84" s="252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66"/>
      <c r="B85" s="253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68"/>
    </row>
    <row r="3" spans="1:3" x14ac:dyDescent="0.3">
      <c r="A3" s="121" t="s">
        <v>199</v>
      </c>
      <c r="B3" s="123">
        <v>2.7</v>
      </c>
      <c r="C3" s="268"/>
    </row>
    <row r="4" spans="1:3" x14ac:dyDescent="0.3">
      <c r="A4" s="121" t="s">
        <v>200</v>
      </c>
      <c r="B4" s="123">
        <v>5.4</v>
      </c>
      <c r="C4" s="268"/>
    </row>
    <row r="5" spans="1:3" x14ac:dyDescent="0.3">
      <c r="A5" s="121" t="s">
        <v>201</v>
      </c>
      <c r="B5" s="123">
        <v>3.4</v>
      </c>
      <c r="C5" s="268"/>
    </row>
    <row r="6" spans="1:3" x14ac:dyDescent="0.3">
      <c r="A6" s="121" t="s">
        <v>202</v>
      </c>
      <c r="B6" s="123">
        <v>1.8</v>
      </c>
      <c r="C6" s="268"/>
    </row>
    <row r="7" spans="1:3" ht="28.8" x14ac:dyDescent="0.3">
      <c r="A7" s="121" t="s">
        <v>203</v>
      </c>
      <c r="B7" s="126">
        <v>2.52</v>
      </c>
      <c r="C7" s="268"/>
    </row>
    <row r="8" spans="1:3" x14ac:dyDescent="0.3">
      <c r="A8" s="122" t="s">
        <v>243</v>
      </c>
      <c r="B8" s="151">
        <v>7.5</v>
      </c>
      <c r="C8" s="268"/>
    </row>
    <row r="9" spans="1:3" x14ac:dyDescent="0.3">
      <c r="A9" s="121" t="s">
        <v>244</v>
      </c>
      <c r="B9" s="123">
        <v>15</v>
      </c>
      <c r="C9" s="268"/>
    </row>
    <row r="10" spans="1:3" x14ac:dyDescent="0.3">
      <c r="A10" s="125" t="s">
        <v>245</v>
      </c>
      <c r="B10" s="154">
        <v>15</v>
      </c>
      <c r="C10" s="268"/>
    </row>
    <row r="11" spans="1:3" x14ac:dyDescent="0.3">
      <c r="A11" s="125" t="s">
        <v>246</v>
      </c>
      <c r="B11" s="152">
        <v>22</v>
      </c>
      <c r="C11" s="268"/>
    </row>
    <row r="12" spans="1:3" ht="15.6" x14ac:dyDescent="0.3">
      <c r="A12" s="153" t="s">
        <v>247</v>
      </c>
      <c r="B12" s="152">
        <v>30</v>
      </c>
      <c r="C12" s="268"/>
    </row>
    <row r="13" spans="1:3" x14ac:dyDescent="0.3">
      <c r="A13" s="125"/>
      <c r="B13" s="152"/>
      <c r="C13" s="268"/>
    </row>
    <row r="14" spans="1:3" x14ac:dyDescent="0.3">
      <c r="A14" s="122"/>
      <c r="B14" s="151"/>
      <c r="C14" s="268"/>
    </row>
    <row r="15" spans="1:3" x14ac:dyDescent="0.3">
      <c r="A15" s="121"/>
      <c r="B15" s="123"/>
      <c r="C15" s="268"/>
    </row>
    <row r="16" spans="1:3" x14ac:dyDescent="0.3">
      <c r="A16" s="125"/>
      <c r="B16" s="152"/>
      <c r="C16" s="268"/>
    </row>
    <row r="17" spans="1:3" x14ac:dyDescent="0.3">
      <c r="A17" s="125"/>
      <c r="B17" s="118"/>
      <c r="C17" s="268"/>
    </row>
    <row r="18" spans="1:3" x14ac:dyDescent="0.3">
      <c r="A18" s="125"/>
      <c r="B18" s="118"/>
      <c r="C18" s="268"/>
    </row>
    <row r="19" spans="1:3" x14ac:dyDescent="0.3">
      <c r="A19" s="125"/>
      <c r="B19" s="118"/>
      <c r="C19" s="268"/>
    </row>
    <row r="20" spans="1:3" x14ac:dyDescent="0.3">
      <c r="A20" s="125"/>
      <c r="B20" s="118"/>
      <c r="C20" s="268"/>
    </row>
    <row r="21" spans="1:3" x14ac:dyDescent="0.3">
      <c r="A21" s="125"/>
      <c r="B21" s="118"/>
      <c r="C21" s="268"/>
    </row>
    <row r="22" spans="1:3" x14ac:dyDescent="0.3">
      <c r="A22" s="122"/>
      <c r="B22" s="124"/>
      <c r="C22" s="268"/>
    </row>
    <row r="23" spans="1:3" ht="14.25" customHeight="1" x14ac:dyDescent="0.3">
      <c r="A23" s="121"/>
      <c r="B23" s="116"/>
      <c r="C23" s="269"/>
    </row>
    <row r="24" spans="1:3" x14ac:dyDescent="0.3">
      <c r="A24" s="125"/>
      <c r="B24" s="118"/>
      <c r="C24" s="269"/>
    </row>
    <row r="25" spans="1:3" x14ac:dyDescent="0.3">
      <c r="A25" s="125"/>
      <c r="B25" s="118"/>
      <c r="C25" s="269"/>
    </row>
    <row r="26" spans="1:3" x14ac:dyDescent="0.3">
      <c r="A26" s="125"/>
      <c r="B26" s="118"/>
      <c r="C26" s="269"/>
    </row>
    <row r="27" spans="1:3" x14ac:dyDescent="0.3">
      <c r="A27" s="125"/>
      <c r="B27" s="118"/>
      <c r="C27" s="269"/>
    </row>
    <row r="28" spans="1:3" x14ac:dyDescent="0.3">
      <c r="A28" s="122"/>
      <c r="B28" s="124"/>
      <c r="C28" s="269"/>
    </row>
    <row r="29" spans="1:3" ht="28.5" customHeight="1" x14ac:dyDescent="0.3">
      <c r="A29" s="121"/>
      <c r="B29" s="142"/>
      <c r="C29" s="267"/>
    </row>
    <row r="30" spans="1:3" x14ac:dyDescent="0.3">
      <c r="A30" s="125"/>
      <c r="B30" s="143"/>
      <c r="C30" s="267"/>
    </row>
    <row r="31" spans="1:3" x14ac:dyDescent="0.3">
      <c r="A31" s="125"/>
      <c r="B31" s="143"/>
      <c r="C31" s="267"/>
    </row>
    <row r="32" spans="1:3" x14ac:dyDescent="0.3">
      <c r="A32" s="125"/>
      <c r="B32" s="143"/>
      <c r="C32" s="267"/>
    </row>
    <row r="33" spans="1:3" x14ac:dyDescent="0.3">
      <c r="A33" s="122"/>
      <c r="B33" s="144"/>
      <c r="C33" s="267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71"/>
      <c r="D2" s="271"/>
      <c r="E2" s="274"/>
      <c r="F2" s="274"/>
      <c r="G2" s="274"/>
      <c r="H2" s="274"/>
      <c r="I2" s="270"/>
    </row>
    <row r="3" spans="1:9" x14ac:dyDescent="0.3">
      <c r="A3" s="111" t="s">
        <v>220</v>
      </c>
      <c r="B3" s="111">
        <v>0.36099999999999999</v>
      </c>
      <c r="C3" s="272"/>
      <c r="D3" s="272"/>
      <c r="E3" s="275"/>
      <c r="F3" s="275"/>
      <c r="G3" s="275"/>
      <c r="H3" s="275"/>
      <c r="I3" s="270"/>
    </row>
    <row r="4" spans="1:9" ht="14.25" customHeight="1" x14ac:dyDescent="0.3">
      <c r="A4" s="146"/>
      <c r="B4" s="118"/>
      <c r="C4" s="272"/>
      <c r="D4" s="272"/>
      <c r="E4" s="275"/>
      <c r="F4" s="275"/>
      <c r="G4" s="275"/>
      <c r="H4" s="275"/>
      <c r="I4" s="270"/>
    </row>
    <row r="5" spans="1:9" ht="14.25" customHeight="1" x14ac:dyDescent="0.3">
      <c r="A5" s="146"/>
      <c r="B5" s="118"/>
      <c r="C5" s="272"/>
      <c r="D5" s="272"/>
      <c r="E5" s="275"/>
      <c r="F5" s="275"/>
      <c r="G5" s="275"/>
      <c r="H5" s="275"/>
      <c r="I5" s="270"/>
    </row>
    <row r="6" spans="1:9" ht="14.25" customHeight="1" x14ac:dyDescent="0.3">
      <c r="A6" s="146"/>
      <c r="B6" s="118"/>
      <c r="C6" s="272"/>
      <c r="D6" s="272"/>
      <c r="E6" s="275"/>
      <c r="F6" s="275"/>
      <c r="G6" s="275"/>
      <c r="H6" s="275"/>
      <c r="I6" s="270"/>
    </row>
    <row r="7" spans="1:9" ht="14.25" customHeight="1" x14ac:dyDescent="0.3">
      <c r="A7" s="146"/>
      <c r="B7" s="118"/>
      <c r="C7" s="272"/>
      <c r="D7" s="272"/>
      <c r="E7" s="275"/>
      <c r="F7" s="275"/>
      <c r="G7" s="275"/>
      <c r="H7" s="275"/>
      <c r="I7" s="270"/>
    </row>
    <row r="8" spans="1:9" ht="14.25" customHeight="1" x14ac:dyDescent="0.3">
      <c r="A8" s="146"/>
      <c r="B8" s="118"/>
      <c r="C8" s="272"/>
      <c r="D8" s="272"/>
      <c r="E8" s="275"/>
      <c r="F8" s="275"/>
      <c r="G8" s="275"/>
      <c r="H8" s="275"/>
      <c r="I8" s="270"/>
    </row>
    <row r="9" spans="1:9" ht="14.25" customHeight="1" x14ac:dyDescent="0.3">
      <c r="A9" s="147"/>
      <c r="B9" s="124"/>
      <c r="C9" s="273"/>
      <c r="D9" s="273"/>
      <c r="E9" s="276"/>
      <c r="F9" s="276"/>
      <c r="G9" s="276"/>
      <c r="H9" s="276"/>
      <c r="I9" s="270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>
      <selection sqref="A1:A5"/>
    </sheetView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C9"/>
  <sheetViews>
    <sheetView workbookViewId="0">
      <selection activeCell="E4" sqref="E4"/>
    </sheetView>
  </sheetViews>
  <sheetFormatPr defaultRowHeight="14.4" x14ac:dyDescent="0.3"/>
  <cols>
    <col min="1" max="1" width="17.5546875" customWidth="1"/>
    <col min="3" max="3" width="19.5546875" customWidth="1"/>
  </cols>
  <sheetData>
    <row r="1" spans="1:3" x14ac:dyDescent="0.3">
      <c r="A1" s="161" t="s">
        <v>617</v>
      </c>
      <c r="C1" s="161" t="s">
        <v>1195</v>
      </c>
    </row>
    <row r="2" spans="1:3" x14ac:dyDescent="0.3">
      <c r="A2" s="182" t="s">
        <v>618</v>
      </c>
      <c r="C2" s="182" t="s">
        <v>1196</v>
      </c>
    </row>
    <row r="3" spans="1:3" x14ac:dyDescent="0.3">
      <c r="A3" s="182" t="s">
        <v>619</v>
      </c>
      <c r="C3" s="182" t="s">
        <v>1197</v>
      </c>
    </row>
    <row r="4" spans="1:3" x14ac:dyDescent="0.3">
      <c r="A4" s="182" t="s">
        <v>620</v>
      </c>
      <c r="C4" s="182" t="s">
        <v>1198</v>
      </c>
    </row>
    <row r="5" spans="1:3" x14ac:dyDescent="0.3">
      <c r="A5" s="182" t="s">
        <v>621</v>
      </c>
      <c r="C5" s="182"/>
    </row>
    <row r="6" spans="1:3" ht="28.8" x14ac:dyDescent="0.3">
      <c r="A6" s="182" t="s">
        <v>622</v>
      </c>
      <c r="C6" s="182"/>
    </row>
    <row r="7" spans="1:3" x14ac:dyDescent="0.3">
      <c r="A7" s="182" t="s">
        <v>623</v>
      </c>
      <c r="C7" s="182"/>
    </row>
    <row r="8" spans="1:3" x14ac:dyDescent="0.3">
      <c r="A8" s="182" t="s">
        <v>624</v>
      </c>
      <c r="C8" s="182"/>
    </row>
    <row r="9" spans="1:3" x14ac:dyDescent="0.3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8FCBE-F0C2-4115-84CD-FF9218AB72F9}">
  <dimension ref="A1:B4"/>
  <sheetViews>
    <sheetView workbookViewId="0">
      <selection activeCell="A4" sqref="A4"/>
    </sheetView>
  </sheetViews>
  <sheetFormatPr defaultRowHeight="14.4" x14ac:dyDescent="0.3"/>
  <sheetData>
    <row r="1" spans="1:2" x14ac:dyDescent="0.3">
      <c r="A1" t="s">
        <v>1199</v>
      </c>
      <c r="B1" t="s">
        <v>1181</v>
      </c>
    </row>
    <row r="2" spans="1:2" x14ac:dyDescent="0.3">
      <c r="A2" t="s">
        <v>1201</v>
      </c>
    </row>
    <row r="3" spans="1:2" x14ac:dyDescent="0.3">
      <c r="A3" t="s">
        <v>1202</v>
      </c>
    </row>
    <row r="4" spans="1:2" x14ac:dyDescent="0.3">
      <c r="A4" t="s">
        <v>1200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F1" sqref="F1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  <col min="5" max="5" width="16.5546875" customWidth="1"/>
  </cols>
  <sheetData>
    <row r="1" spans="1:5" ht="28.8" x14ac:dyDescent="0.3">
      <c r="A1" s="162" t="s">
        <v>626</v>
      </c>
      <c r="B1" s="162" t="s">
        <v>627</v>
      </c>
      <c r="C1" s="162" t="s">
        <v>628</v>
      </c>
      <c r="D1" s="234" t="s">
        <v>597</v>
      </c>
      <c r="E1" s="234" t="s">
        <v>1113</v>
      </c>
    </row>
    <row r="2" spans="1:5" x14ac:dyDescent="0.3">
      <c r="A2" s="164" t="s">
        <v>629</v>
      </c>
      <c r="B2" s="177" t="s">
        <v>630</v>
      </c>
      <c r="C2" s="167" t="s">
        <v>631</v>
      </c>
    </row>
    <row r="3" spans="1:5" x14ac:dyDescent="0.3">
      <c r="A3" s="164" t="s">
        <v>632</v>
      </c>
      <c r="B3" s="177" t="s">
        <v>630</v>
      </c>
      <c r="C3" s="165" t="s">
        <v>631</v>
      </c>
    </row>
    <row r="4" spans="1:5" x14ac:dyDescent="0.3">
      <c r="A4" s="164" t="s">
        <v>633</v>
      </c>
      <c r="B4" s="177" t="s">
        <v>634</v>
      </c>
      <c r="C4" s="165" t="s">
        <v>631</v>
      </c>
    </row>
    <row r="5" spans="1:5" x14ac:dyDescent="0.3">
      <c r="A5" s="164" t="s">
        <v>635</v>
      </c>
      <c r="B5" s="177" t="s">
        <v>634</v>
      </c>
      <c r="C5" s="165" t="s">
        <v>631</v>
      </c>
    </row>
    <row r="6" spans="1:5" x14ac:dyDescent="0.3">
      <c r="A6" s="164" t="s">
        <v>636</v>
      </c>
      <c r="B6" s="177" t="s">
        <v>634</v>
      </c>
      <c r="C6" s="165" t="s">
        <v>631</v>
      </c>
    </row>
    <row r="7" spans="1:5" x14ac:dyDescent="0.3">
      <c r="A7" s="164" t="s">
        <v>637</v>
      </c>
      <c r="B7" s="177" t="s">
        <v>634</v>
      </c>
      <c r="C7" s="165" t="s">
        <v>631</v>
      </c>
    </row>
    <row r="8" spans="1:5" x14ac:dyDescent="0.3">
      <c r="A8" s="164" t="s">
        <v>638</v>
      </c>
      <c r="B8" s="177" t="s">
        <v>639</v>
      </c>
      <c r="C8" s="165" t="s">
        <v>631</v>
      </c>
    </row>
    <row r="9" spans="1:5" x14ac:dyDescent="0.3">
      <c r="A9" s="164" t="s">
        <v>640</v>
      </c>
      <c r="B9" s="177" t="s">
        <v>641</v>
      </c>
      <c r="C9" s="165" t="s">
        <v>631</v>
      </c>
    </row>
    <row r="10" spans="1:5" x14ac:dyDescent="0.3">
      <c r="A10" s="164" t="s">
        <v>642</v>
      </c>
      <c r="B10" s="177" t="s">
        <v>641</v>
      </c>
      <c r="C10" s="165" t="s">
        <v>631</v>
      </c>
    </row>
    <row r="11" spans="1:5" x14ac:dyDescent="0.3">
      <c r="A11" s="164" t="s">
        <v>643</v>
      </c>
      <c r="B11" s="177" t="s">
        <v>644</v>
      </c>
      <c r="C11" s="165" t="s">
        <v>631</v>
      </c>
    </row>
    <row r="12" spans="1:5" x14ac:dyDescent="0.3">
      <c r="A12" s="164" t="s">
        <v>645</v>
      </c>
      <c r="B12" s="177" t="s">
        <v>646</v>
      </c>
      <c r="C12" s="165" t="s">
        <v>631</v>
      </c>
    </row>
    <row r="13" spans="1:5" x14ac:dyDescent="0.3">
      <c r="A13" s="164" t="s">
        <v>647</v>
      </c>
      <c r="B13" s="177" t="s">
        <v>648</v>
      </c>
      <c r="C13" s="165" t="s">
        <v>631</v>
      </c>
    </row>
    <row r="14" spans="1:5" x14ac:dyDescent="0.3">
      <c r="A14" s="164" t="s">
        <v>649</v>
      </c>
      <c r="B14" s="177" t="s">
        <v>650</v>
      </c>
      <c r="C14" s="165" t="s">
        <v>631</v>
      </c>
    </row>
    <row r="15" spans="1:5" x14ac:dyDescent="0.3">
      <c r="A15" s="164" t="s">
        <v>651</v>
      </c>
      <c r="B15" s="177" t="s">
        <v>652</v>
      </c>
      <c r="C15" s="165" t="s">
        <v>631</v>
      </c>
    </row>
    <row r="16" spans="1:5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/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3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3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3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3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3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3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3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3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3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3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3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3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3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3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3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3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A6" sqref="A6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3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3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3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3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3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3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3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3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3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3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3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3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3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3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3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3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3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3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3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3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3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3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3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3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3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3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3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3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3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3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3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3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3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3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3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3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3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3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3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3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3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3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3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3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3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3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3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3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3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3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3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3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3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3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3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3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3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3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3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3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3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3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3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3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3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3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3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3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3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3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3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3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3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3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3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3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3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3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3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3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3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3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3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3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3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3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3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3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3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3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3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3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3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3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3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3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3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3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3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3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3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3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3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3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3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3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3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3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3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3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3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3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3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3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3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3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3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3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3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3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3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3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3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3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3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3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3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3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3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3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3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3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3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3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3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3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3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3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3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3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3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3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3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3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3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3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3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3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3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3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3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3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3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3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3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3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3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3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3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3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3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3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3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3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3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3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3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3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3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3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3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3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3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3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3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3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3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3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3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3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3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3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3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3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3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3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3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3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3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3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8" x14ac:dyDescent="0.3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3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8" x14ac:dyDescent="0.3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3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8" x14ac:dyDescent="0.3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3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3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3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3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3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3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3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3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3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3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3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3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3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3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3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3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3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3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3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3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3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3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3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3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3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3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3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3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3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3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3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3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3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3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3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3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3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3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3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3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3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3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3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3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3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3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3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3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3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3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3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3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3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3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3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3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3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3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3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3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3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3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3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3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3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3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3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3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3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3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3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3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3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3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3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3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3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3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3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3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6" t="s">
        <v>248</v>
      </c>
      <c r="B1" s="157" t="s">
        <v>249</v>
      </c>
      <c r="C1" s="158" t="s">
        <v>250</v>
      </c>
    </row>
    <row r="2" spans="1:3" x14ac:dyDescent="0.3">
      <c r="A2" s="159" t="s">
        <v>317</v>
      </c>
      <c r="B2" s="155" t="s">
        <v>318</v>
      </c>
      <c r="C2" s="160" t="s">
        <v>262</v>
      </c>
    </row>
    <row r="3" spans="1:3" ht="20.399999999999999" x14ac:dyDescent="0.3">
      <c r="A3" s="159" t="s">
        <v>317</v>
      </c>
      <c r="B3" s="155" t="s">
        <v>319</v>
      </c>
      <c r="C3" s="160" t="s">
        <v>320</v>
      </c>
    </row>
    <row r="4" spans="1:3" ht="20.399999999999999" x14ac:dyDescent="0.3">
      <c r="A4" s="159" t="s">
        <v>317</v>
      </c>
      <c r="B4" s="155" t="s">
        <v>321</v>
      </c>
      <c r="C4" s="160" t="s">
        <v>322</v>
      </c>
    </row>
    <row r="5" spans="1:3" ht="30.6" x14ac:dyDescent="0.3">
      <c r="A5" s="159" t="s">
        <v>317</v>
      </c>
      <c r="B5" s="155" t="s">
        <v>323</v>
      </c>
      <c r="C5" s="160" t="s">
        <v>324</v>
      </c>
    </row>
    <row r="6" spans="1:3" x14ac:dyDescent="0.3">
      <c r="A6" s="159" t="s">
        <v>317</v>
      </c>
      <c r="B6" s="155" t="s">
        <v>251</v>
      </c>
      <c r="C6" s="160" t="s">
        <v>325</v>
      </c>
    </row>
    <row r="7" spans="1:3" ht="20.399999999999999" x14ac:dyDescent="0.3">
      <c r="A7" s="159" t="s">
        <v>317</v>
      </c>
      <c r="B7" s="155" t="s">
        <v>252</v>
      </c>
      <c r="C7" s="160" t="s">
        <v>326</v>
      </c>
    </row>
    <row r="8" spans="1:3" ht="20.399999999999999" x14ac:dyDescent="0.3">
      <c r="A8" s="159" t="s">
        <v>317</v>
      </c>
      <c r="B8" s="155" t="s">
        <v>327</v>
      </c>
      <c r="C8" s="160" t="s">
        <v>262</v>
      </c>
    </row>
    <row r="9" spans="1:3" ht="30.6" x14ac:dyDescent="0.3">
      <c r="A9" s="159" t="s">
        <v>317</v>
      </c>
      <c r="B9" s="155" t="s">
        <v>328</v>
      </c>
      <c r="C9" s="160" t="s">
        <v>329</v>
      </c>
    </row>
    <row r="10" spans="1:3" ht="40.799999999999997" x14ac:dyDescent="0.3">
      <c r="A10" s="159" t="s">
        <v>317</v>
      </c>
      <c r="B10" s="155" t="s">
        <v>330</v>
      </c>
      <c r="C10" s="160" t="s">
        <v>331</v>
      </c>
    </row>
    <row r="11" spans="1:3" ht="20.399999999999999" x14ac:dyDescent="0.3">
      <c r="A11" s="159" t="s">
        <v>317</v>
      </c>
      <c r="B11" s="155" t="s">
        <v>332</v>
      </c>
      <c r="C11" s="160" t="s">
        <v>333</v>
      </c>
    </row>
    <row r="12" spans="1:3" ht="30.6" x14ac:dyDescent="0.3">
      <c r="A12" s="159" t="s">
        <v>317</v>
      </c>
      <c r="B12" s="155" t="s">
        <v>334</v>
      </c>
      <c r="C12" s="160" t="s">
        <v>335</v>
      </c>
    </row>
    <row r="13" spans="1:3" ht="20.399999999999999" x14ac:dyDescent="0.3">
      <c r="A13" s="159" t="s">
        <v>317</v>
      </c>
      <c r="B13" s="155" t="s">
        <v>336</v>
      </c>
      <c r="C13" s="160" t="s">
        <v>337</v>
      </c>
    </row>
    <row r="14" spans="1:3" ht="20.399999999999999" x14ac:dyDescent="0.3">
      <c r="A14" s="159" t="s">
        <v>317</v>
      </c>
      <c r="B14" s="155" t="s">
        <v>253</v>
      </c>
      <c r="C14" s="160" t="s">
        <v>338</v>
      </c>
    </row>
    <row r="15" spans="1:3" x14ac:dyDescent="0.3">
      <c r="A15" s="159" t="s">
        <v>317</v>
      </c>
      <c r="B15" s="155" t="s">
        <v>339</v>
      </c>
      <c r="C15" s="160" t="s">
        <v>262</v>
      </c>
    </row>
    <row r="16" spans="1:3" ht="20.399999999999999" x14ac:dyDescent="0.3">
      <c r="A16" s="159" t="s">
        <v>317</v>
      </c>
      <c r="B16" s="155" t="s">
        <v>340</v>
      </c>
      <c r="C16" s="160" t="s">
        <v>341</v>
      </c>
    </row>
    <row r="17" spans="1:3" ht="20.399999999999999" x14ac:dyDescent="0.3">
      <c r="A17" s="159" t="s">
        <v>317</v>
      </c>
      <c r="B17" s="155" t="s">
        <v>340</v>
      </c>
      <c r="C17" s="160" t="s">
        <v>342</v>
      </c>
    </row>
    <row r="18" spans="1:3" ht="20.399999999999999" x14ac:dyDescent="0.3">
      <c r="A18" s="159" t="s">
        <v>317</v>
      </c>
      <c r="B18" s="155" t="s">
        <v>343</v>
      </c>
      <c r="C18" s="160" t="s">
        <v>344</v>
      </c>
    </row>
    <row r="19" spans="1:3" ht="20.399999999999999" x14ac:dyDescent="0.3">
      <c r="A19" s="159" t="s">
        <v>317</v>
      </c>
      <c r="B19" s="155" t="s">
        <v>345</v>
      </c>
      <c r="C19" s="160" t="s">
        <v>346</v>
      </c>
    </row>
    <row r="20" spans="1:3" ht="20.399999999999999" x14ac:dyDescent="0.3">
      <c r="A20" s="159" t="s">
        <v>317</v>
      </c>
      <c r="B20" s="155" t="s">
        <v>347</v>
      </c>
      <c r="C20" s="160" t="s">
        <v>262</v>
      </c>
    </row>
    <row r="21" spans="1:3" ht="30.6" x14ac:dyDescent="0.3">
      <c r="A21" s="159" t="s">
        <v>317</v>
      </c>
      <c r="B21" s="155" t="s">
        <v>348</v>
      </c>
      <c r="C21" s="160" t="s">
        <v>262</v>
      </c>
    </row>
    <row r="22" spans="1:3" ht="20.399999999999999" x14ac:dyDescent="0.3">
      <c r="A22" s="159" t="s">
        <v>317</v>
      </c>
      <c r="B22" s="155" t="s">
        <v>349</v>
      </c>
      <c r="C22" s="160" t="s">
        <v>350</v>
      </c>
    </row>
    <row r="23" spans="1:3" ht="20.399999999999999" x14ac:dyDescent="0.3">
      <c r="A23" s="159" t="s">
        <v>317</v>
      </c>
      <c r="B23" s="155" t="s">
        <v>351</v>
      </c>
      <c r="C23" s="160" t="s">
        <v>266</v>
      </c>
    </row>
    <row r="24" spans="1:3" ht="20.399999999999999" x14ac:dyDescent="0.3">
      <c r="A24" s="159" t="s">
        <v>317</v>
      </c>
      <c r="B24" s="155" t="s">
        <v>352</v>
      </c>
      <c r="C24" s="160" t="s">
        <v>262</v>
      </c>
    </row>
    <row r="25" spans="1:3" ht="20.399999999999999" x14ac:dyDescent="0.3">
      <c r="A25" s="159" t="s">
        <v>317</v>
      </c>
      <c r="B25" s="155" t="s">
        <v>353</v>
      </c>
      <c r="C25" s="160" t="s">
        <v>262</v>
      </c>
    </row>
    <row r="26" spans="1:3" ht="20.399999999999999" x14ac:dyDescent="0.3">
      <c r="A26" s="159" t="s">
        <v>317</v>
      </c>
      <c r="B26" s="155" t="s">
        <v>354</v>
      </c>
      <c r="C26" s="160" t="s">
        <v>262</v>
      </c>
    </row>
    <row r="27" spans="1:3" ht="20.399999999999999" x14ac:dyDescent="0.3">
      <c r="A27" s="159" t="s">
        <v>317</v>
      </c>
      <c r="B27" s="155" t="s">
        <v>355</v>
      </c>
      <c r="C27" s="160" t="s">
        <v>262</v>
      </c>
    </row>
    <row r="28" spans="1:3" ht="20.399999999999999" x14ac:dyDescent="0.3">
      <c r="A28" s="159" t="s">
        <v>317</v>
      </c>
      <c r="B28" s="155" t="s">
        <v>356</v>
      </c>
      <c r="C28" s="160" t="s">
        <v>357</v>
      </c>
    </row>
    <row r="29" spans="1:3" x14ac:dyDescent="0.3">
      <c r="A29" s="159" t="s">
        <v>317</v>
      </c>
      <c r="B29" s="155" t="s">
        <v>358</v>
      </c>
      <c r="C29" s="160" t="s">
        <v>359</v>
      </c>
    </row>
    <row r="30" spans="1:3" x14ac:dyDescent="0.3">
      <c r="A30" s="159" t="s">
        <v>317</v>
      </c>
      <c r="B30" s="155" t="s">
        <v>360</v>
      </c>
      <c r="C30" s="160" t="s">
        <v>361</v>
      </c>
    </row>
    <row r="31" spans="1:3" ht="20.399999999999999" x14ac:dyDescent="0.3">
      <c r="A31" s="159" t="s">
        <v>317</v>
      </c>
      <c r="B31" s="155" t="s">
        <v>362</v>
      </c>
      <c r="C31" s="160" t="s">
        <v>363</v>
      </c>
    </row>
    <row r="32" spans="1:3" ht="20.399999999999999" x14ac:dyDescent="0.3">
      <c r="A32" s="159" t="s">
        <v>317</v>
      </c>
      <c r="B32" s="155" t="s">
        <v>364</v>
      </c>
      <c r="C32" s="160" t="s">
        <v>365</v>
      </c>
    </row>
    <row r="33" spans="1:3" ht="20.399999999999999" x14ac:dyDescent="0.3">
      <c r="A33" s="159" t="s">
        <v>317</v>
      </c>
      <c r="B33" s="155" t="s">
        <v>366</v>
      </c>
      <c r="C33" s="160" t="s">
        <v>367</v>
      </c>
    </row>
    <row r="34" spans="1:3" x14ac:dyDescent="0.3">
      <c r="A34" s="159" t="s">
        <v>317</v>
      </c>
      <c r="B34" s="155" t="s">
        <v>368</v>
      </c>
      <c r="C34" s="160" t="s">
        <v>369</v>
      </c>
    </row>
    <row r="35" spans="1:3" ht="20.399999999999999" x14ac:dyDescent="0.3">
      <c r="A35" s="159" t="s">
        <v>317</v>
      </c>
      <c r="B35" s="155" t="s">
        <v>370</v>
      </c>
      <c r="C35" s="160" t="s">
        <v>371</v>
      </c>
    </row>
    <row r="36" spans="1:3" ht="20.399999999999999" x14ac:dyDescent="0.3">
      <c r="A36" s="159" t="s">
        <v>317</v>
      </c>
      <c r="B36" s="155" t="s">
        <v>372</v>
      </c>
      <c r="C36" s="160" t="s">
        <v>373</v>
      </c>
    </row>
    <row r="37" spans="1:3" ht="20.399999999999999" x14ac:dyDescent="0.3">
      <c r="A37" s="159" t="s">
        <v>317</v>
      </c>
      <c r="B37" s="155" t="s">
        <v>374</v>
      </c>
      <c r="C37" s="160" t="s">
        <v>277</v>
      </c>
    </row>
    <row r="38" spans="1:3" ht="51" x14ac:dyDescent="0.3">
      <c r="A38" s="159" t="s">
        <v>317</v>
      </c>
      <c r="B38" s="155" t="s">
        <v>375</v>
      </c>
      <c r="C38" s="160" t="s">
        <v>376</v>
      </c>
    </row>
    <row r="39" spans="1:3" x14ac:dyDescent="0.3">
      <c r="A39" s="159" t="s">
        <v>317</v>
      </c>
      <c r="B39" s="155" t="s">
        <v>377</v>
      </c>
      <c r="C39" s="160" t="s">
        <v>262</v>
      </c>
    </row>
    <row r="40" spans="1:3" x14ac:dyDescent="0.3">
      <c r="A40" s="159" t="s">
        <v>317</v>
      </c>
      <c r="B40" s="155" t="s">
        <v>378</v>
      </c>
      <c r="C40" s="160" t="s">
        <v>262</v>
      </c>
    </row>
    <row r="41" spans="1:3" ht="20.399999999999999" x14ac:dyDescent="0.3">
      <c r="A41" s="159" t="s">
        <v>317</v>
      </c>
      <c r="B41" s="155" t="s">
        <v>379</v>
      </c>
      <c r="C41" s="160" t="s">
        <v>262</v>
      </c>
    </row>
    <row r="42" spans="1:3" ht="20.399999999999999" x14ac:dyDescent="0.3">
      <c r="A42" s="159" t="s">
        <v>317</v>
      </c>
      <c r="B42" s="155" t="s">
        <v>380</v>
      </c>
      <c r="C42" s="160" t="s">
        <v>357</v>
      </c>
    </row>
    <row r="43" spans="1:3" ht="20.399999999999999" x14ac:dyDescent="0.3">
      <c r="A43" s="159" t="s">
        <v>317</v>
      </c>
      <c r="B43" s="155" t="s">
        <v>381</v>
      </c>
      <c r="C43" s="160" t="s">
        <v>262</v>
      </c>
    </row>
    <row r="44" spans="1:3" ht="40.799999999999997" x14ac:dyDescent="0.3">
      <c r="A44" s="159" t="s">
        <v>317</v>
      </c>
      <c r="B44" s="155" t="s">
        <v>382</v>
      </c>
      <c r="C44" s="160" t="s">
        <v>262</v>
      </c>
    </row>
    <row r="45" spans="1:3" ht="30.6" x14ac:dyDescent="0.3">
      <c r="A45" s="159" t="s">
        <v>317</v>
      </c>
      <c r="B45" s="155" t="s">
        <v>383</v>
      </c>
      <c r="C45" s="160" t="s">
        <v>262</v>
      </c>
    </row>
    <row r="46" spans="1:3" ht="40.799999999999997" x14ac:dyDescent="0.3">
      <c r="A46" s="159" t="s">
        <v>317</v>
      </c>
      <c r="B46" s="155" t="s">
        <v>384</v>
      </c>
      <c r="C46" s="160" t="s">
        <v>262</v>
      </c>
    </row>
    <row r="47" spans="1:3" x14ac:dyDescent="0.3">
      <c r="A47" s="159" t="s">
        <v>317</v>
      </c>
      <c r="B47" s="155" t="s">
        <v>385</v>
      </c>
      <c r="C47" s="160" t="s">
        <v>262</v>
      </c>
    </row>
    <row r="48" spans="1:3" ht="20.399999999999999" x14ac:dyDescent="0.3">
      <c r="A48" s="159" t="s">
        <v>317</v>
      </c>
      <c r="B48" s="155" t="s">
        <v>386</v>
      </c>
      <c r="C48" s="160" t="s">
        <v>387</v>
      </c>
    </row>
    <row r="49" spans="1:3" x14ac:dyDescent="0.3">
      <c r="A49" s="159" t="s">
        <v>317</v>
      </c>
      <c r="B49" s="155" t="s">
        <v>388</v>
      </c>
      <c r="C49" s="160" t="s">
        <v>389</v>
      </c>
    </row>
    <row r="50" spans="1:3" ht="20.399999999999999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x14ac:dyDescent="0.3">
      <c r="A57" s="159" t="s">
        <v>317</v>
      </c>
      <c r="B57" s="155" t="s">
        <v>261</v>
      </c>
      <c r="C57" s="160" t="s">
        <v>262</v>
      </c>
    </row>
    <row r="58" spans="1:3" x14ac:dyDescent="0.3">
      <c r="A58" s="159" t="s">
        <v>317</v>
      </c>
      <c r="B58" s="155" t="s">
        <v>263</v>
      </c>
      <c r="C58" s="160" t="s">
        <v>397</v>
      </c>
    </row>
    <row r="59" spans="1:3" x14ac:dyDescent="0.3">
      <c r="A59" s="159" t="s">
        <v>317</v>
      </c>
      <c r="B59" s="155" t="s">
        <v>264</v>
      </c>
      <c r="C59" s="160" t="s">
        <v>398</v>
      </c>
    </row>
    <row r="60" spans="1:3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x14ac:dyDescent="0.3">
      <c r="A62" s="159" t="s">
        <v>317</v>
      </c>
      <c r="B62" s="155" t="s">
        <v>265</v>
      </c>
      <c r="C62" s="160" t="s">
        <v>402</v>
      </c>
    </row>
    <row r="63" spans="1:3" x14ac:dyDescent="0.3">
      <c r="A63" s="159" t="s">
        <v>317</v>
      </c>
      <c r="B63" s="155" t="s">
        <v>403</v>
      </c>
      <c r="C63" s="160" t="s">
        <v>404</v>
      </c>
    </row>
    <row r="64" spans="1:3" x14ac:dyDescent="0.3">
      <c r="A64" s="159" t="s">
        <v>317</v>
      </c>
      <c r="B64" s="155" t="s">
        <v>405</v>
      </c>
      <c r="C64" s="160" t="s">
        <v>262</v>
      </c>
    </row>
    <row r="65" spans="1:3" ht="20.399999999999999" x14ac:dyDescent="0.3">
      <c r="A65" s="159" t="s">
        <v>317</v>
      </c>
      <c r="B65" s="155" t="s">
        <v>406</v>
      </c>
      <c r="C65" s="160" t="s">
        <v>407</v>
      </c>
    </row>
    <row r="66" spans="1:3" ht="20.399999999999999" x14ac:dyDescent="0.3">
      <c r="A66" s="159" t="s">
        <v>317</v>
      </c>
      <c r="B66" s="155" t="s">
        <v>408</v>
      </c>
      <c r="C66" s="160" t="s">
        <v>409</v>
      </c>
    </row>
    <row r="67" spans="1:3" ht="20.399999999999999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20.399999999999999" x14ac:dyDescent="0.3">
      <c r="A70" s="159" t="s">
        <v>317</v>
      </c>
      <c r="B70" s="155" t="s">
        <v>414</v>
      </c>
      <c r="C70" s="160" t="s">
        <v>415</v>
      </c>
    </row>
    <row r="71" spans="1:3" ht="20.399999999999999" x14ac:dyDescent="0.3">
      <c r="A71" s="159" t="s">
        <v>317</v>
      </c>
      <c r="B71" s="155" t="s">
        <v>267</v>
      </c>
      <c r="C71" s="160" t="s">
        <v>416</v>
      </c>
    </row>
    <row r="72" spans="1:3" ht="20.399999999999999" x14ac:dyDescent="0.3">
      <c r="A72" s="159" t="s">
        <v>317</v>
      </c>
      <c r="B72" s="155" t="s">
        <v>417</v>
      </c>
      <c r="C72" s="160" t="s">
        <v>418</v>
      </c>
    </row>
    <row r="73" spans="1:3" ht="20.399999999999999" x14ac:dyDescent="0.3">
      <c r="A73" s="159" t="s">
        <v>317</v>
      </c>
      <c r="B73" s="155" t="s">
        <v>419</v>
      </c>
      <c r="C73" s="160" t="s">
        <v>262</v>
      </c>
    </row>
    <row r="74" spans="1:3" ht="20.399999999999999" x14ac:dyDescent="0.3">
      <c r="A74" s="159" t="s">
        <v>317</v>
      </c>
      <c r="B74" s="155" t="s">
        <v>420</v>
      </c>
      <c r="C74" s="160" t="s">
        <v>421</v>
      </c>
    </row>
    <row r="75" spans="1:3" ht="20.399999999999999" x14ac:dyDescent="0.3">
      <c r="A75" s="159" t="s">
        <v>317</v>
      </c>
      <c r="B75" s="155" t="s">
        <v>422</v>
      </c>
      <c r="C75" s="160" t="s">
        <v>423</v>
      </c>
    </row>
    <row r="76" spans="1:3" ht="20.399999999999999" x14ac:dyDescent="0.3">
      <c r="A76" s="159" t="s">
        <v>317</v>
      </c>
      <c r="B76" s="155" t="s">
        <v>424</v>
      </c>
      <c r="C76" s="160" t="s">
        <v>425</v>
      </c>
    </row>
    <row r="77" spans="1:3" ht="30.6" x14ac:dyDescent="0.3">
      <c r="A77" s="159" t="s">
        <v>317</v>
      </c>
      <c r="B77" s="155" t="s">
        <v>426</v>
      </c>
      <c r="C77" s="160" t="s">
        <v>427</v>
      </c>
    </row>
    <row r="78" spans="1:3" ht="20.399999999999999" x14ac:dyDescent="0.3">
      <c r="A78" s="159" t="s">
        <v>317</v>
      </c>
      <c r="B78" s="155" t="s">
        <v>428</v>
      </c>
      <c r="C78" s="160" t="s">
        <v>429</v>
      </c>
    </row>
    <row r="79" spans="1:3" ht="30.6" x14ac:dyDescent="0.3">
      <c r="A79" s="159" t="s">
        <v>317</v>
      </c>
      <c r="B79" s="155" t="s">
        <v>430</v>
      </c>
      <c r="C79" s="160" t="s">
        <v>431</v>
      </c>
    </row>
    <row r="80" spans="1:3" ht="30.6" x14ac:dyDescent="0.3">
      <c r="A80" s="159" t="s">
        <v>317</v>
      </c>
      <c r="B80" s="155" t="s">
        <v>268</v>
      </c>
      <c r="C80" s="160" t="s">
        <v>432</v>
      </c>
    </row>
    <row r="81" spans="1:3" ht="20.399999999999999" x14ac:dyDescent="0.3">
      <c r="A81" s="159" t="s">
        <v>317</v>
      </c>
      <c r="B81" s="155" t="s">
        <v>433</v>
      </c>
      <c r="C81" s="160" t="s">
        <v>262</v>
      </c>
    </row>
    <row r="82" spans="1:3" ht="20.399999999999999" x14ac:dyDescent="0.3">
      <c r="A82" s="159" t="s">
        <v>317</v>
      </c>
      <c r="B82" s="155" t="s">
        <v>269</v>
      </c>
      <c r="C82" s="160" t="s">
        <v>434</v>
      </c>
    </row>
    <row r="83" spans="1:3" x14ac:dyDescent="0.3">
      <c r="A83" s="159" t="s">
        <v>317</v>
      </c>
      <c r="B83" s="155" t="s">
        <v>435</v>
      </c>
      <c r="C83" s="160" t="s">
        <v>262</v>
      </c>
    </row>
    <row r="84" spans="1:3" ht="20.399999999999999" x14ac:dyDescent="0.3">
      <c r="A84" s="159" t="s">
        <v>317</v>
      </c>
      <c r="B84" s="155" t="s">
        <v>436</v>
      </c>
      <c r="C84" s="160" t="s">
        <v>437</v>
      </c>
    </row>
    <row r="85" spans="1:3" x14ac:dyDescent="0.3">
      <c r="A85" s="159" t="s">
        <v>317</v>
      </c>
      <c r="B85" s="155" t="s">
        <v>438</v>
      </c>
      <c r="C85" s="160" t="s">
        <v>266</v>
      </c>
    </row>
    <row r="86" spans="1:3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x14ac:dyDescent="0.3">
      <c r="A122" s="159" t="s">
        <v>317</v>
      </c>
      <c r="B122" s="155" t="s">
        <v>289</v>
      </c>
      <c r="C122" s="160" t="s">
        <v>489</v>
      </c>
    </row>
    <row r="123" spans="1:3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x14ac:dyDescent="0.3">
      <c r="A126" s="159" t="s">
        <v>317</v>
      </c>
      <c r="B126" s="155" t="s">
        <v>496</v>
      </c>
      <c r="C126" s="160" t="s">
        <v>497</v>
      </c>
    </row>
    <row r="127" spans="1:3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x14ac:dyDescent="0.3">
      <c r="A152" s="159" t="s">
        <v>317</v>
      </c>
      <c r="B152" s="155" t="s">
        <v>537</v>
      </c>
      <c r="C152" s="160" t="s">
        <v>262</v>
      </c>
    </row>
    <row r="153" spans="1:3" x14ac:dyDescent="0.3">
      <c r="A153" s="159" t="s">
        <v>317</v>
      </c>
      <c r="B153" s="155" t="s">
        <v>297</v>
      </c>
      <c r="C153" s="160" t="s">
        <v>538</v>
      </c>
    </row>
    <row r="154" spans="1:3" x14ac:dyDescent="0.3">
      <c r="A154" s="159" t="s">
        <v>317</v>
      </c>
      <c r="B154" s="155" t="s">
        <v>539</v>
      </c>
      <c r="C154" s="160" t="s">
        <v>262</v>
      </c>
    </row>
    <row r="155" spans="1:3" ht="20.399999999999999" x14ac:dyDescent="0.3">
      <c r="A155" s="159" t="s">
        <v>317</v>
      </c>
      <c r="B155" s="155" t="s">
        <v>540</v>
      </c>
      <c r="C155" s="160" t="s">
        <v>400</v>
      </c>
    </row>
    <row r="156" spans="1:3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30.6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20.399999999999999" x14ac:dyDescent="0.3">
      <c r="A162" s="159" t="s">
        <v>317</v>
      </c>
      <c r="B162" s="155" t="s">
        <v>303</v>
      </c>
      <c r="C162" s="160" t="s">
        <v>546</v>
      </c>
    </row>
    <row r="163" spans="1:3" ht="20.399999999999999" x14ac:dyDescent="0.3">
      <c r="A163" s="159" t="s">
        <v>317</v>
      </c>
      <c r="B163" s="155" t="s">
        <v>547</v>
      </c>
      <c r="C163" s="160" t="s">
        <v>369</v>
      </c>
    </row>
    <row r="164" spans="1:3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x14ac:dyDescent="0.3">
      <c r="A166" s="159" t="s">
        <v>317</v>
      </c>
      <c r="B166" s="155" t="s">
        <v>305</v>
      </c>
      <c r="C166" s="160" t="s">
        <v>550</v>
      </c>
    </row>
    <row r="167" spans="1:3" x14ac:dyDescent="0.3">
      <c r="A167" s="159" t="s">
        <v>317</v>
      </c>
      <c r="B167" s="155" t="s">
        <v>306</v>
      </c>
      <c r="C167" s="160" t="s">
        <v>551</v>
      </c>
    </row>
    <row r="168" spans="1:3" x14ac:dyDescent="0.3">
      <c r="A168" s="159" t="s">
        <v>317</v>
      </c>
      <c r="B168" s="155" t="s">
        <v>307</v>
      </c>
      <c r="C168" s="160" t="s">
        <v>552</v>
      </c>
    </row>
    <row r="169" spans="1:3" x14ac:dyDescent="0.3">
      <c r="A169" s="159" t="s">
        <v>317</v>
      </c>
      <c r="B169" s="155" t="s">
        <v>553</v>
      </c>
      <c r="C169" s="160" t="s">
        <v>320</v>
      </c>
    </row>
    <row r="170" spans="1:3" x14ac:dyDescent="0.3">
      <c r="A170" s="159" t="s">
        <v>317</v>
      </c>
      <c r="B170" s="155" t="s">
        <v>554</v>
      </c>
      <c r="C170" s="160" t="s">
        <v>555</v>
      </c>
    </row>
    <row r="171" spans="1:3" x14ac:dyDescent="0.3">
      <c r="A171" s="159" t="s">
        <v>317</v>
      </c>
      <c r="B171" s="155" t="s">
        <v>556</v>
      </c>
      <c r="C171" s="160" t="s">
        <v>262</v>
      </c>
    </row>
    <row r="172" spans="1:3" x14ac:dyDescent="0.3">
      <c r="A172" s="159" t="s">
        <v>317</v>
      </c>
      <c r="B172" s="155" t="s">
        <v>557</v>
      </c>
      <c r="C172" s="160" t="s">
        <v>320</v>
      </c>
    </row>
    <row r="173" spans="1:3" x14ac:dyDescent="0.3">
      <c r="A173" s="159" t="s">
        <v>317</v>
      </c>
      <c r="B173" s="155" t="s">
        <v>308</v>
      </c>
      <c r="C173" s="160" t="s">
        <v>558</v>
      </c>
    </row>
    <row r="174" spans="1:3" x14ac:dyDescent="0.3">
      <c r="A174" s="159" t="s">
        <v>317</v>
      </c>
      <c r="B174" s="155" t="s">
        <v>559</v>
      </c>
      <c r="C174" s="160" t="s">
        <v>320</v>
      </c>
    </row>
    <row r="175" spans="1:3" x14ac:dyDescent="0.3">
      <c r="A175" s="159" t="s">
        <v>317</v>
      </c>
      <c r="B175" s="155" t="s">
        <v>560</v>
      </c>
      <c r="C175" s="160" t="s">
        <v>561</v>
      </c>
    </row>
    <row r="176" spans="1:3" x14ac:dyDescent="0.3">
      <c r="A176" s="159" t="s">
        <v>317</v>
      </c>
      <c r="B176" s="155" t="s">
        <v>309</v>
      </c>
      <c r="C176" s="160" t="s">
        <v>562</v>
      </c>
    </row>
    <row r="177" spans="1:3" x14ac:dyDescent="0.3">
      <c r="A177" s="159" t="s">
        <v>317</v>
      </c>
      <c r="B177" s="155" t="s">
        <v>310</v>
      </c>
      <c r="C177" s="160" t="s">
        <v>563</v>
      </c>
    </row>
    <row r="178" spans="1:3" x14ac:dyDescent="0.3">
      <c r="A178" s="159" t="s">
        <v>317</v>
      </c>
      <c r="B178" s="155" t="s">
        <v>564</v>
      </c>
      <c r="C178" s="160" t="s">
        <v>565</v>
      </c>
    </row>
    <row r="179" spans="1:3" x14ac:dyDescent="0.3">
      <c r="A179" s="159" t="s">
        <v>317</v>
      </c>
      <c r="B179" s="155" t="s">
        <v>566</v>
      </c>
      <c r="C179" s="160" t="s">
        <v>534</v>
      </c>
    </row>
    <row r="180" spans="1:3" x14ac:dyDescent="0.3">
      <c r="A180" s="159" t="s">
        <v>317</v>
      </c>
      <c r="B180" s="155" t="s">
        <v>567</v>
      </c>
      <c r="C180" s="160" t="s">
        <v>320</v>
      </c>
    </row>
    <row r="181" spans="1:3" x14ac:dyDescent="0.3">
      <c r="A181" s="159" t="s">
        <v>317</v>
      </c>
      <c r="B181" s="155" t="s">
        <v>568</v>
      </c>
      <c r="C181" s="160" t="s">
        <v>292</v>
      </c>
    </row>
    <row r="182" spans="1:3" x14ac:dyDescent="0.3">
      <c r="A182" s="159" t="s">
        <v>317</v>
      </c>
      <c r="B182" s="155" t="s">
        <v>569</v>
      </c>
      <c r="C182" s="160" t="s">
        <v>570</v>
      </c>
    </row>
    <row r="183" spans="1:3" x14ac:dyDescent="0.3">
      <c r="A183" s="159" t="s">
        <v>317</v>
      </c>
      <c r="B183" s="155" t="s">
        <v>311</v>
      </c>
      <c r="C183" s="160" t="s">
        <v>571</v>
      </c>
    </row>
    <row r="184" spans="1:3" x14ac:dyDescent="0.3">
      <c r="A184" s="159" t="s">
        <v>317</v>
      </c>
      <c r="B184" s="155" t="s">
        <v>312</v>
      </c>
      <c r="C184" s="160" t="s">
        <v>572</v>
      </c>
    </row>
    <row r="185" spans="1:3" x14ac:dyDescent="0.3">
      <c r="A185" s="159" t="s">
        <v>317</v>
      </c>
      <c r="B185" s="155" t="s">
        <v>313</v>
      </c>
      <c r="C185" s="160" t="s">
        <v>573</v>
      </c>
    </row>
    <row r="186" spans="1:3" x14ac:dyDescent="0.3">
      <c r="A186" s="159" t="s">
        <v>317</v>
      </c>
      <c r="B186" s="155" t="s">
        <v>574</v>
      </c>
      <c r="C186" s="160" t="s">
        <v>320</v>
      </c>
    </row>
    <row r="187" spans="1:3" x14ac:dyDescent="0.3">
      <c r="A187" s="159" t="s">
        <v>317</v>
      </c>
      <c r="B187" s="155" t="s">
        <v>575</v>
      </c>
      <c r="C187" s="160" t="s">
        <v>389</v>
      </c>
    </row>
    <row r="188" spans="1:3" x14ac:dyDescent="0.3">
      <c r="A188" s="159" t="s">
        <v>317</v>
      </c>
      <c r="B188" s="155" t="s">
        <v>576</v>
      </c>
      <c r="C188" s="160" t="s">
        <v>262</v>
      </c>
    </row>
    <row r="189" spans="1:3" ht="30.6" x14ac:dyDescent="0.3">
      <c r="A189" s="159" t="s">
        <v>317</v>
      </c>
      <c r="B189" s="155" t="s">
        <v>577</v>
      </c>
      <c r="C189" s="160" t="s">
        <v>578</v>
      </c>
    </row>
    <row r="190" spans="1:3" ht="20.399999999999999" x14ac:dyDescent="0.3">
      <c r="A190" s="159" t="s">
        <v>317</v>
      </c>
      <c r="B190" s="155" t="s">
        <v>314</v>
      </c>
      <c r="C190" s="160" t="s">
        <v>579</v>
      </c>
    </row>
    <row r="191" spans="1:3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x14ac:dyDescent="0.3">
      <c r="A193" s="159" t="s">
        <v>317</v>
      </c>
      <c r="B193" s="155" t="s">
        <v>315</v>
      </c>
      <c r="C193" s="160" t="s">
        <v>584</v>
      </c>
    </row>
    <row r="194" spans="1:3" x14ac:dyDescent="0.3">
      <c r="A194" s="159" t="s">
        <v>317</v>
      </c>
      <c r="B194" s="155" t="s">
        <v>585</v>
      </c>
      <c r="C194" s="160" t="s">
        <v>586</v>
      </c>
    </row>
    <row r="195" spans="1:3" x14ac:dyDescent="0.3">
      <c r="A195" s="159" t="s">
        <v>317</v>
      </c>
      <c r="B195" s="155" t="s">
        <v>587</v>
      </c>
      <c r="C195" s="160" t="s">
        <v>262</v>
      </c>
    </row>
    <row r="196" spans="1:3" ht="20.399999999999999" x14ac:dyDescent="0.3">
      <c r="A196" s="159" t="s">
        <v>317</v>
      </c>
      <c r="B196" s="155" t="s">
        <v>588</v>
      </c>
      <c r="C196" s="160" t="s">
        <v>589</v>
      </c>
    </row>
    <row r="197" spans="1:3" ht="20.399999999999999" x14ac:dyDescent="0.3">
      <c r="A197" s="159" t="s">
        <v>317</v>
      </c>
      <c r="B197" s="155" t="s">
        <v>590</v>
      </c>
      <c r="C197" s="160" t="s">
        <v>262</v>
      </c>
    </row>
    <row r="198" spans="1:3" x14ac:dyDescent="0.3">
      <c r="A198" s="159" t="s">
        <v>317</v>
      </c>
      <c r="B198" s="155" t="s">
        <v>591</v>
      </c>
      <c r="C198" s="160" t="s">
        <v>320</v>
      </c>
    </row>
    <row r="199" spans="1:3" x14ac:dyDescent="0.3">
      <c r="A199" s="159" t="s">
        <v>317</v>
      </c>
      <c r="B199" s="155" t="s">
        <v>592</v>
      </c>
      <c r="C199" s="160" t="s">
        <v>593</v>
      </c>
    </row>
    <row r="200" spans="1:3" ht="20.399999999999999" x14ac:dyDescent="0.3">
      <c r="A200" s="159" t="s">
        <v>317</v>
      </c>
      <c r="B200" s="155" t="s">
        <v>316</v>
      </c>
      <c r="C200" s="160" t="s">
        <v>594</v>
      </c>
    </row>
    <row r="201" spans="1:3" x14ac:dyDescent="0.3">
      <c r="A201" s="159" t="s">
        <v>317</v>
      </c>
      <c r="B201" s="155" t="s">
        <v>595</v>
      </c>
      <c r="C201" s="160" t="s">
        <v>262</v>
      </c>
    </row>
    <row r="202" spans="1:3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21" sqref="B21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77" t="s">
        <v>97</v>
      </c>
      <c r="B1" s="278"/>
      <c r="C1" s="278"/>
      <c r="D1" s="279"/>
      <c r="E1" s="286" t="s">
        <v>107</v>
      </c>
      <c r="F1" s="288"/>
      <c r="G1" s="288"/>
      <c r="H1" s="288"/>
      <c r="I1" s="287"/>
      <c r="J1" s="286" t="s">
        <v>116</v>
      </c>
      <c r="K1" s="288"/>
      <c r="L1" s="288"/>
      <c r="M1" s="288"/>
      <c r="N1" s="287"/>
      <c r="O1" s="286" t="s">
        <v>121</v>
      </c>
      <c r="P1" s="288"/>
      <c r="Q1" s="288"/>
      <c r="R1" s="288"/>
      <c r="S1" s="287"/>
      <c r="T1" s="286" t="s">
        <v>128</v>
      </c>
      <c r="U1" s="287"/>
      <c r="V1" s="283" t="s">
        <v>132</v>
      </c>
      <c r="W1" s="284"/>
      <c r="X1" s="284"/>
      <c r="Y1" s="284"/>
      <c r="Z1" s="284"/>
      <c r="AA1" s="284"/>
      <c r="AB1" s="284"/>
      <c r="AC1" s="284"/>
      <c r="AD1" s="284"/>
      <c r="AE1" s="285"/>
      <c r="AF1" s="280" t="s">
        <v>155</v>
      </c>
      <c r="AG1" s="281"/>
      <c r="AH1" s="281"/>
      <c r="AI1" s="281"/>
      <c r="AJ1" s="281"/>
      <c r="AK1" s="281"/>
      <c r="AL1" s="281"/>
      <c r="AM1" s="281"/>
      <c r="AN1" s="281"/>
      <c r="AO1" s="281"/>
      <c r="AP1" s="281"/>
      <c r="AQ1" s="281"/>
      <c r="AR1" s="281"/>
      <c r="AS1" s="282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48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91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91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94" t="s">
        <v>132</v>
      </c>
      <c r="AD2" s="289" t="s">
        <v>133</v>
      </c>
      <c r="AE2" s="9" t="s">
        <v>134</v>
      </c>
      <c r="AF2" s="9" t="s">
        <v>123</v>
      </c>
      <c r="AG2" s="10">
        <v>6.7000000000000002E-4</v>
      </c>
      <c r="AH2" s="248"/>
      <c r="AI2" s="248"/>
      <c r="AJ2" s="248"/>
      <c r="AK2" s="248"/>
      <c r="AL2" s="248"/>
      <c r="AM2" s="248"/>
      <c r="AN2" s="248"/>
      <c r="AO2" s="248"/>
      <c r="AP2" s="248"/>
      <c r="AQ2" s="248"/>
      <c r="AR2" s="248"/>
      <c r="AS2" s="248"/>
      <c r="AT2" s="248"/>
      <c r="AU2" s="248"/>
      <c r="AV2" s="248"/>
      <c r="AW2" s="248"/>
      <c r="AX2" s="248"/>
      <c r="AY2" s="248"/>
      <c r="AZ2" s="248"/>
      <c r="BA2" s="248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92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92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95"/>
      <c r="AD3" s="252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92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93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95"/>
      <c r="AD4" s="252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92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95"/>
      <c r="AD5" s="252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92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95"/>
      <c r="AD6" s="252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92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95"/>
      <c r="AD7" s="252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92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95"/>
      <c r="AD8" s="252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93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95"/>
      <c r="AD9" s="252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95"/>
      <c r="AD10" s="252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94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95"/>
      <c r="AD11" s="252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95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95"/>
      <c r="AD12" s="252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95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95"/>
      <c r="AD13" s="252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95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95"/>
      <c r="AD14" s="252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95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95"/>
      <c r="AD15" s="252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95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95"/>
      <c r="AD16" s="252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95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95"/>
      <c r="AD17" s="252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96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95"/>
      <c r="AD18" s="252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95"/>
      <c r="AD19" s="252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95"/>
      <c r="AD20" s="252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95"/>
      <c r="AD21" s="252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95"/>
      <c r="AD22" s="252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95"/>
      <c r="AD23" s="252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95"/>
      <c r="AD24" s="252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96"/>
      <c r="AD25" s="290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94" t="s">
        <v>155</v>
      </c>
      <c r="AD27" s="289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95"/>
      <c r="AD28" s="252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95"/>
      <c r="AD29" s="252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95"/>
      <c r="AD30" s="252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95"/>
      <c r="AD31" s="252"/>
      <c r="AE31" s="7" t="s">
        <v>160</v>
      </c>
      <c r="AF31" s="7" t="s">
        <v>123</v>
      </c>
      <c r="AG31" s="11">
        <v>1.81E-3</v>
      </c>
    </row>
    <row r="32" spans="1:33" x14ac:dyDescent="0.3">
      <c r="AC32" s="295"/>
      <c r="AD32" s="252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95"/>
      <c r="AD33" s="252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95"/>
      <c r="AD34" s="252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95"/>
      <c r="AD35" s="252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95"/>
      <c r="AD36" s="252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95"/>
      <c r="AD37" s="252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95"/>
      <c r="AD38" s="252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95"/>
      <c r="AD39" s="252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95"/>
      <c r="AD40" s="252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95"/>
      <c r="AD41" s="252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95"/>
      <c r="AD42" s="252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95"/>
      <c r="AD43" s="252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95"/>
      <c r="AD44" s="252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95"/>
      <c r="AD45" s="252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95"/>
      <c r="AD46" s="252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95"/>
      <c r="AD47" s="252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95"/>
      <c r="AD48" s="252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95"/>
      <c r="AD49" s="252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95"/>
      <c r="AD50" s="252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95"/>
      <c r="AD51" s="252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95"/>
      <c r="AD52" s="252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95"/>
      <c r="AD53" s="252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95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96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A10" sqref="A10:C10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 thickBot="1" x14ac:dyDescent="0.3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5" thickBot="1" x14ac:dyDescent="0.35">
      <c r="A10" s="218" t="s">
        <v>91</v>
      </c>
      <c r="B10" s="5" t="s">
        <v>93</v>
      </c>
      <c r="C10" s="5" t="s">
        <v>131</v>
      </c>
    </row>
    <row r="11" spans="1:6" x14ac:dyDescent="0.3">
      <c r="A11" s="220" t="s">
        <v>1067</v>
      </c>
      <c r="B11" s="221" t="s">
        <v>1066</v>
      </c>
      <c r="C11" s="222">
        <v>3.746E-2</v>
      </c>
    </row>
    <row r="12" spans="1:6" x14ac:dyDescent="0.3">
      <c r="A12" s="223" t="s">
        <v>1068</v>
      </c>
      <c r="B12" s="219" t="s">
        <v>1066</v>
      </c>
      <c r="C12" s="224">
        <v>4.6019999999999998E-2</v>
      </c>
    </row>
    <row r="13" spans="1:6" x14ac:dyDescent="0.3">
      <c r="A13" s="223" t="s">
        <v>1069</v>
      </c>
      <c r="B13" s="219" t="s">
        <v>1066</v>
      </c>
      <c r="C13" s="224">
        <v>6.7059999999999995E-2</v>
      </c>
    </row>
    <row r="14" spans="1:6" x14ac:dyDescent="0.3">
      <c r="A14" s="223" t="s">
        <v>1070</v>
      </c>
      <c r="B14" s="219" t="s">
        <v>1066</v>
      </c>
      <c r="C14" s="224">
        <v>6.1280000000000001E-2</v>
      </c>
    </row>
    <row r="15" spans="1:6" x14ac:dyDescent="0.3">
      <c r="A15" s="223" t="s">
        <v>1071</v>
      </c>
      <c r="B15" s="219" t="s">
        <v>1066</v>
      </c>
      <c r="C15" s="224">
        <v>5.6140000000000002E-2</v>
      </c>
    </row>
    <row r="16" spans="1:6" x14ac:dyDescent="0.3">
      <c r="A16" s="223" t="s">
        <v>1072</v>
      </c>
      <c r="B16" s="219" t="s">
        <v>1066</v>
      </c>
      <c r="C16" s="224">
        <v>6.0740000000000002E-2</v>
      </c>
    </row>
    <row r="17" spans="1:3" x14ac:dyDescent="0.3">
      <c r="A17" s="223" t="s">
        <v>1073</v>
      </c>
      <c r="B17" s="219" t="s">
        <v>1066</v>
      </c>
      <c r="C17" s="224">
        <v>9.783E-2</v>
      </c>
    </row>
    <row r="18" spans="1:3" x14ac:dyDescent="0.3">
      <c r="A18" s="223" t="s">
        <v>1074</v>
      </c>
      <c r="B18" s="219" t="s">
        <v>1066</v>
      </c>
      <c r="C18" s="224">
        <v>6.1830000000000003E-2</v>
      </c>
    </row>
    <row r="19" spans="1:3" x14ac:dyDescent="0.3">
      <c r="A19" s="223" t="s">
        <v>1075</v>
      </c>
      <c r="B19" s="219" t="s">
        <v>1066</v>
      </c>
      <c r="C19" s="224">
        <v>9.4299999999999991E-3</v>
      </c>
    </row>
    <row r="20" spans="1:3" x14ac:dyDescent="0.3">
      <c r="A20" s="223" t="s">
        <v>1076</v>
      </c>
      <c r="B20" s="219" t="s">
        <v>1066</v>
      </c>
      <c r="C20" s="224">
        <v>1.4540000000000001E-2</v>
      </c>
    </row>
    <row r="21" spans="1:3" x14ac:dyDescent="0.3">
      <c r="A21" s="223" t="s">
        <v>1077</v>
      </c>
      <c r="B21" s="219" t="s">
        <v>1066</v>
      </c>
      <c r="C21" s="224">
        <v>1.9789999999999999E-2</v>
      </c>
    </row>
    <row r="22" spans="1:3" ht="15" thickBot="1" x14ac:dyDescent="0.35">
      <c r="A22" s="225" t="s">
        <v>1078</v>
      </c>
      <c r="B22" s="226" t="s">
        <v>1066</v>
      </c>
      <c r="C22" s="227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zoomScaleNormal="100" workbookViewId="0">
      <selection activeCell="B21" sqref="B21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97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92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92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92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92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92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92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93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91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92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92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92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92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92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92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93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29" t="s">
        <v>1087</v>
      </c>
      <c r="E19" s="229" t="s">
        <v>1088</v>
      </c>
    </row>
    <row r="20" spans="1:7" ht="15" thickBot="1" x14ac:dyDescent="0.35">
      <c r="A20" s="228" t="s">
        <v>91</v>
      </c>
      <c r="B20" s="5" t="s">
        <v>93</v>
      </c>
      <c r="C20" s="5" t="s">
        <v>131</v>
      </c>
      <c r="E20" s="228" t="s">
        <v>91</v>
      </c>
      <c r="F20" s="5" t="s">
        <v>93</v>
      </c>
      <c r="G20" s="5" t="s">
        <v>131</v>
      </c>
    </row>
    <row r="21" spans="1:7" x14ac:dyDescent="0.3">
      <c r="A21" s="220" t="s">
        <v>1079</v>
      </c>
      <c r="B21" s="231" t="s">
        <v>99</v>
      </c>
      <c r="C21" s="222">
        <v>0.11027000000000001</v>
      </c>
      <c r="E21" s="230" t="s">
        <v>1079</v>
      </c>
      <c r="F21" s="230" t="s">
        <v>99</v>
      </c>
      <c r="G21" s="233">
        <v>0.13155</v>
      </c>
    </row>
    <row r="22" spans="1:7" x14ac:dyDescent="0.3">
      <c r="A22" s="223" t="s">
        <v>1080</v>
      </c>
      <c r="B22" s="230" t="s">
        <v>99</v>
      </c>
      <c r="C22" s="224">
        <v>0.13206999999999999</v>
      </c>
      <c r="E22" s="230" t="s">
        <v>1080</v>
      </c>
      <c r="F22" s="230" t="s">
        <v>99</v>
      </c>
      <c r="G22" s="233">
        <v>0.15756000000000001</v>
      </c>
    </row>
    <row r="23" spans="1:7" x14ac:dyDescent="0.3">
      <c r="A23" s="223" t="s">
        <v>1081</v>
      </c>
      <c r="B23" s="230" t="s">
        <v>99</v>
      </c>
      <c r="C23" s="224">
        <v>0.18171999999999999</v>
      </c>
      <c r="E23" s="230" t="s">
        <v>1081</v>
      </c>
      <c r="F23" s="230" t="s">
        <v>99</v>
      </c>
      <c r="G23" s="233">
        <v>0.21678</v>
      </c>
    </row>
    <row r="24" spans="1:7" x14ac:dyDescent="0.3">
      <c r="A24" s="223" t="s">
        <v>1082</v>
      </c>
      <c r="B24" s="230" t="s">
        <v>99</v>
      </c>
      <c r="C24" s="224">
        <v>0.16044</v>
      </c>
      <c r="E24" s="230" t="s">
        <v>1082</v>
      </c>
      <c r="F24" s="230" t="s">
        <v>99</v>
      </c>
      <c r="G24" s="233">
        <v>0.19139999999999999</v>
      </c>
    </row>
    <row r="25" spans="1:7" x14ac:dyDescent="0.3">
      <c r="A25" s="223" t="s">
        <v>1083</v>
      </c>
      <c r="B25" s="230" t="s">
        <v>99</v>
      </c>
      <c r="C25" s="224">
        <v>0.14831</v>
      </c>
      <c r="E25" s="230" t="s">
        <v>1083</v>
      </c>
      <c r="F25" s="230" t="s">
        <v>99</v>
      </c>
      <c r="G25" s="233">
        <v>0.17199</v>
      </c>
    </row>
    <row r="26" spans="1:7" x14ac:dyDescent="0.3">
      <c r="A26" s="223" t="s">
        <v>1084</v>
      </c>
      <c r="B26" s="230" t="s">
        <v>99</v>
      </c>
      <c r="C26" s="224">
        <v>0.15178</v>
      </c>
      <c r="E26" s="230" t="s">
        <v>1084</v>
      </c>
      <c r="F26" s="230" t="s">
        <v>99</v>
      </c>
      <c r="G26" s="233">
        <v>0.17602000000000001</v>
      </c>
    </row>
    <row r="27" spans="1:7" x14ac:dyDescent="0.3">
      <c r="A27" s="223" t="s">
        <v>1085</v>
      </c>
      <c r="B27" s="230" t="s">
        <v>99</v>
      </c>
      <c r="C27" s="224">
        <v>0.15162</v>
      </c>
      <c r="E27" s="230" t="s">
        <v>1085</v>
      </c>
      <c r="F27" s="230" t="s">
        <v>99</v>
      </c>
      <c r="G27" s="233">
        <v>0.17582999999999999</v>
      </c>
    </row>
    <row r="28" spans="1:7" x14ac:dyDescent="0.3">
      <c r="A28" s="223" t="s">
        <v>1086</v>
      </c>
      <c r="B28" s="230" t="s">
        <v>99</v>
      </c>
      <c r="C28" s="224">
        <v>0.15526999999999999</v>
      </c>
      <c r="E28" s="230" t="s">
        <v>1086</v>
      </c>
      <c r="F28" s="230" t="s">
        <v>99</v>
      </c>
      <c r="G28" s="233">
        <v>0.1822</v>
      </c>
    </row>
    <row r="29" spans="1:7" x14ac:dyDescent="0.3">
      <c r="A29" s="223" t="s">
        <v>1089</v>
      </c>
      <c r="B29" s="230" t="s">
        <v>99</v>
      </c>
      <c r="C29" s="224">
        <v>0.11985</v>
      </c>
      <c r="E29" s="230" t="s">
        <v>1089</v>
      </c>
      <c r="F29" s="230" t="s">
        <v>99</v>
      </c>
      <c r="G29" s="233">
        <v>0.14299000000000001</v>
      </c>
    </row>
    <row r="30" spans="1:7" x14ac:dyDescent="0.3">
      <c r="A30" s="223" t="s">
        <v>1090</v>
      </c>
      <c r="B30" s="230" t="s">
        <v>99</v>
      </c>
      <c r="C30" s="224">
        <v>0.15093999999999999</v>
      </c>
      <c r="E30" s="230" t="s">
        <v>1090</v>
      </c>
      <c r="F30" s="230" t="s">
        <v>99</v>
      </c>
      <c r="G30" s="233">
        <v>0.18007000000000001</v>
      </c>
    </row>
    <row r="31" spans="1:7" x14ac:dyDescent="0.3">
      <c r="A31" s="223" t="s">
        <v>1091</v>
      </c>
      <c r="B31" s="230" t="s">
        <v>99</v>
      </c>
      <c r="C31" s="224">
        <v>0.22159999999999999</v>
      </c>
      <c r="E31" s="230" t="s">
        <v>1091</v>
      </c>
      <c r="F31" s="230" t="s">
        <v>99</v>
      </c>
      <c r="G31" s="233">
        <v>0.26436999999999999</v>
      </c>
    </row>
    <row r="32" spans="1:7" x14ac:dyDescent="0.3">
      <c r="A32" s="223" t="s">
        <v>1092</v>
      </c>
      <c r="B32" s="230" t="s">
        <v>99</v>
      </c>
      <c r="C32" s="224">
        <v>0.19131000000000001</v>
      </c>
      <c r="E32" s="230" t="s">
        <v>1092</v>
      </c>
      <c r="F32" s="230" t="s">
        <v>99</v>
      </c>
      <c r="G32" s="233">
        <v>0.22822999999999999</v>
      </c>
    </row>
    <row r="33" spans="1:7" x14ac:dyDescent="0.3">
      <c r="A33" s="223" t="s">
        <v>1093</v>
      </c>
      <c r="B33" s="230" t="s">
        <v>99</v>
      </c>
      <c r="C33" s="224">
        <v>0.18537999999999999</v>
      </c>
      <c r="E33" s="230" t="s">
        <v>1093</v>
      </c>
      <c r="F33" s="230" t="s">
        <v>99</v>
      </c>
      <c r="G33" s="233">
        <v>0.21498999999999999</v>
      </c>
    </row>
    <row r="34" spans="1:7" x14ac:dyDescent="0.3">
      <c r="A34" s="223" t="s">
        <v>1094</v>
      </c>
      <c r="B34" s="230" t="s">
        <v>99</v>
      </c>
      <c r="C34" s="224">
        <v>0.20236999999999999</v>
      </c>
      <c r="E34" s="230" t="s">
        <v>1094</v>
      </c>
      <c r="F34" s="230" t="s">
        <v>99</v>
      </c>
      <c r="G34" s="233">
        <v>0.23469000000000001</v>
      </c>
    </row>
    <row r="35" spans="1:7" x14ac:dyDescent="0.3">
      <c r="A35" s="223" t="s">
        <v>1095</v>
      </c>
      <c r="B35" s="230" t="s">
        <v>99</v>
      </c>
      <c r="C35" s="224">
        <v>0.20158999999999999</v>
      </c>
      <c r="E35" s="230" t="s">
        <v>1095</v>
      </c>
      <c r="F35" s="230" t="s">
        <v>99</v>
      </c>
      <c r="G35" s="233">
        <v>0.23379</v>
      </c>
    </row>
    <row r="36" spans="1:7" x14ac:dyDescent="0.3">
      <c r="A36" s="223" t="s">
        <v>1096</v>
      </c>
      <c r="B36" s="230" t="s">
        <v>99</v>
      </c>
      <c r="C36" s="224">
        <v>0.19733999999999999</v>
      </c>
      <c r="E36" s="230" t="s">
        <v>1096</v>
      </c>
      <c r="F36" s="230" t="s">
        <v>99</v>
      </c>
      <c r="G36" s="233">
        <v>0.23157</v>
      </c>
    </row>
    <row r="37" spans="1:7" x14ac:dyDescent="0.3">
      <c r="A37" s="223" t="s">
        <v>1097</v>
      </c>
      <c r="B37" s="230" t="s">
        <v>99</v>
      </c>
      <c r="C37" s="224">
        <v>0.12944</v>
      </c>
      <c r="E37" s="230" t="s">
        <v>1097</v>
      </c>
      <c r="F37" s="230" t="s">
        <v>99</v>
      </c>
      <c r="G37" s="233">
        <v>0.15442</v>
      </c>
    </row>
    <row r="38" spans="1:7" x14ac:dyDescent="0.3">
      <c r="A38" s="223" t="s">
        <v>1098</v>
      </c>
      <c r="B38" s="230" t="s">
        <v>99</v>
      </c>
      <c r="C38" s="224">
        <v>0.16980999999999999</v>
      </c>
      <c r="E38" s="230" t="s">
        <v>1098</v>
      </c>
      <c r="F38" s="230" t="s">
        <v>99</v>
      </c>
      <c r="G38" s="233">
        <v>0.20258000000000001</v>
      </c>
    </row>
    <row r="39" spans="1:7" x14ac:dyDescent="0.3">
      <c r="A39" s="223" t="s">
        <v>1099</v>
      </c>
      <c r="B39" s="230" t="s">
        <v>99</v>
      </c>
      <c r="C39" s="224">
        <v>0.26149</v>
      </c>
      <c r="E39" s="230" t="s">
        <v>1099</v>
      </c>
      <c r="F39" s="230" t="s">
        <v>99</v>
      </c>
      <c r="G39" s="233">
        <v>0.31196000000000002</v>
      </c>
    </row>
    <row r="40" spans="1:7" x14ac:dyDescent="0.3">
      <c r="A40" s="223" t="s">
        <v>1100</v>
      </c>
      <c r="B40" s="230" t="s">
        <v>99</v>
      </c>
      <c r="C40" s="224">
        <v>0.22217999999999999</v>
      </c>
      <c r="E40" s="230" t="s">
        <v>1100</v>
      </c>
      <c r="F40" s="230" t="s">
        <v>99</v>
      </c>
      <c r="G40" s="233">
        <v>0.26506000000000002</v>
      </c>
    </row>
    <row r="41" spans="1:7" x14ac:dyDescent="0.3">
      <c r="A41" s="223" t="s">
        <v>1101</v>
      </c>
      <c r="B41" s="230" t="s">
        <v>99</v>
      </c>
      <c r="C41" s="224">
        <v>0.22245999999999999</v>
      </c>
      <c r="E41" s="230" t="s">
        <v>1101</v>
      </c>
      <c r="F41" s="230" t="s">
        <v>99</v>
      </c>
      <c r="G41" s="233">
        <v>0.25799</v>
      </c>
    </row>
    <row r="42" spans="1:7" x14ac:dyDescent="0.3">
      <c r="A42" s="223" t="s">
        <v>1102</v>
      </c>
      <c r="B42" s="230" t="s">
        <v>99</v>
      </c>
      <c r="C42" s="224">
        <v>0.25296000000000002</v>
      </c>
      <c r="E42" s="230" t="s">
        <v>1102</v>
      </c>
      <c r="F42" s="230" t="s">
        <v>99</v>
      </c>
      <c r="G42" s="233">
        <v>0.29336000000000001</v>
      </c>
    </row>
    <row r="43" spans="1:7" x14ac:dyDescent="0.3">
      <c r="A43" s="223" t="s">
        <v>1103</v>
      </c>
      <c r="B43" s="230" t="s">
        <v>99</v>
      </c>
      <c r="C43" s="224">
        <v>0.25157000000000002</v>
      </c>
      <c r="E43" s="230" t="s">
        <v>1103</v>
      </c>
      <c r="F43" s="230" t="s">
        <v>99</v>
      </c>
      <c r="G43" s="233">
        <v>0.29175000000000001</v>
      </c>
    </row>
    <row r="44" spans="1:7" x14ac:dyDescent="0.3">
      <c r="A44" s="223" t="s">
        <v>1104</v>
      </c>
      <c r="B44" s="230" t="s">
        <v>99</v>
      </c>
      <c r="C44" s="224">
        <v>0.23941999999999999</v>
      </c>
      <c r="E44" s="230" t="s">
        <v>1104</v>
      </c>
      <c r="F44" s="230" t="s">
        <v>99</v>
      </c>
      <c r="G44" s="233">
        <v>0.28094999999999998</v>
      </c>
    </row>
    <row r="45" spans="1:7" x14ac:dyDescent="0.3">
      <c r="A45" s="223" t="s">
        <v>1112</v>
      </c>
      <c r="B45" s="230" t="s">
        <v>99</v>
      </c>
      <c r="C45" s="224">
        <v>0.11851</v>
      </c>
      <c r="E45" s="230" t="s">
        <v>1112</v>
      </c>
      <c r="F45" s="230" t="s">
        <v>99</v>
      </c>
      <c r="G45" s="233">
        <v>0.14138000000000001</v>
      </c>
    </row>
    <row r="46" spans="1:7" x14ac:dyDescent="0.3">
      <c r="A46" s="223" t="s">
        <v>1111</v>
      </c>
      <c r="B46" s="230" t="s">
        <v>99</v>
      </c>
      <c r="C46" s="224">
        <v>0.14452999999999999</v>
      </c>
      <c r="E46" s="230" t="s">
        <v>1111</v>
      </c>
      <c r="F46" s="230" t="s">
        <v>99</v>
      </c>
      <c r="G46" s="233">
        <v>0.17241999999999999</v>
      </c>
    </row>
    <row r="47" spans="1:7" x14ac:dyDescent="0.3">
      <c r="A47" s="223" t="s">
        <v>1110</v>
      </c>
      <c r="B47" s="230" t="s">
        <v>99</v>
      </c>
      <c r="C47" s="224">
        <v>0.23755999999999999</v>
      </c>
      <c r="E47" s="230" t="s">
        <v>1110</v>
      </c>
      <c r="F47" s="230" t="s">
        <v>99</v>
      </c>
      <c r="G47" s="233">
        <v>0.28339999999999999</v>
      </c>
    </row>
    <row r="48" spans="1:7" x14ac:dyDescent="0.3">
      <c r="A48" s="223" t="s">
        <v>1109</v>
      </c>
      <c r="B48" s="230" t="s">
        <v>99</v>
      </c>
      <c r="C48" s="224">
        <v>0.20099</v>
      </c>
      <c r="E48" s="230" t="s">
        <v>1109</v>
      </c>
      <c r="F48" s="230" t="s">
        <v>99</v>
      </c>
      <c r="G48" s="233">
        <v>0.23977999999999999</v>
      </c>
    </row>
    <row r="49" spans="1:7" x14ac:dyDescent="0.3">
      <c r="A49" s="223" t="s">
        <v>1108</v>
      </c>
      <c r="B49" s="230" t="s">
        <v>99</v>
      </c>
      <c r="C49" s="224">
        <v>0.18537999999999999</v>
      </c>
      <c r="E49" s="230" t="s">
        <v>1108</v>
      </c>
      <c r="F49" s="230" t="s">
        <v>99</v>
      </c>
      <c r="G49" s="233">
        <v>0.21498999999999999</v>
      </c>
    </row>
    <row r="50" spans="1:7" x14ac:dyDescent="0.3">
      <c r="A50" s="223" t="s">
        <v>1107</v>
      </c>
      <c r="B50" s="230" t="s">
        <v>99</v>
      </c>
      <c r="C50" s="224">
        <v>0.22058</v>
      </c>
      <c r="E50" s="230" t="s">
        <v>1107</v>
      </c>
      <c r="F50" s="230" t="s">
        <v>99</v>
      </c>
      <c r="G50" s="233">
        <v>0.25580999999999998</v>
      </c>
    </row>
    <row r="51" spans="1:7" x14ac:dyDescent="0.3">
      <c r="A51" s="223" t="s">
        <v>1106</v>
      </c>
      <c r="B51" s="230" t="s">
        <v>99</v>
      </c>
      <c r="C51" s="224">
        <v>0.21898000000000001</v>
      </c>
      <c r="E51" s="230" t="s">
        <v>1106</v>
      </c>
      <c r="F51" s="230" t="s">
        <v>99</v>
      </c>
      <c r="G51" s="233">
        <v>0.25395000000000001</v>
      </c>
    </row>
    <row r="52" spans="1:7" ht="15" thickBot="1" x14ac:dyDescent="0.35">
      <c r="A52" s="225" t="s">
        <v>1105</v>
      </c>
      <c r="B52" s="232" t="s">
        <v>99</v>
      </c>
      <c r="C52" s="227">
        <v>0.21154000000000001</v>
      </c>
      <c r="E52" s="230" t="s">
        <v>1105</v>
      </c>
      <c r="F52" s="230" t="s">
        <v>99</v>
      </c>
      <c r="G52" s="2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4" x14ac:dyDescent="0.3"/>
  <cols>
    <col min="1" max="1" width="39.77734375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ht="15" thickBot="1" x14ac:dyDescent="0.3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91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92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93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5" thickBot="1" x14ac:dyDescent="0.35">
      <c r="A9" s="240" t="s">
        <v>91</v>
      </c>
      <c r="B9" s="5" t="s">
        <v>93</v>
      </c>
      <c r="C9" s="5" t="s">
        <v>131</v>
      </c>
    </row>
    <row r="10" spans="1:7" x14ac:dyDescent="0.3">
      <c r="A10" s="237" t="s">
        <v>1114</v>
      </c>
      <c r="B10" s="243" t="s">
        <v>123</v>
      </c>
      <c r="C10" s="107">
        <v>0.13516</v>
      </c>
    </row>
    <row r="11" spans="1:7" x14ac:dyDescent="0.3">
      <c r="A11" s="238" t="s">
        <v>1115</v>
      </c>
      <c r="B11" s="244" t="s">
        <v>123</v>
      </c>
      <c r="C11" s="235">
        <v>0.13516</v>
      </c>
    </row>
    <row r="12" spans="1:7" x14ac:dyDescent="0.3">
      <c r="A12" s="238" t="s">
        <v>1116</v>
      </c>
      <c r="B12" s="244" t="s">
        <v>123</v>
      </c>
      <c r="C12" s="235">
        <v>0.25900000000000001</v>
      </c>
    </row>
    <row r="13" spans="1:7" x14ac:dyDescent="0.3">
      <c r="A13" s="238" t="s">
        <v>1117</v>
      </c>
      <c r="B13" s="244" t="s">
        <v>123</v>
      </c>
      <c r="C13" s="235">
        <v>0.20300000000000001</v>
      </c>
    </row>
    <row r="14" spans="1:7" x14ac:dyDescent="0.3">
      <c r="A14" s="238" t="s">
        <v>1118</v>
      </c>
      <c r="B14" s="244" t="s">
        <v>123</v>
      </c>
      <c r="C14" s="235">
        <v>0.315</v>
      </c>
    </row>
    <row r="15" spans="1:7" ht="15" thickBot="1" x14ac:dyDescent="0.35">
      <c r="A15" s="239" t="s">
        <v>1119</v>
      </c>
      <c r="B15" s="245" t="s">
        <v>123</v>
      </c>
      <c r="C15" s="236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5" thickBot="1" x14ac:dyDescent="0.35">
      <c r="A6" s="228" t="s">
        <v>91</v>
      </c>
      <c r="B6" t="s">
        <v>93</v>
      </c>
      <c r="C6" s="5" t="s">
        <v>131</v>
      </c>
    </row>
    <row r="7" spans="1:4" ht="15" thickBot="1" x14ac:dyDescent="0.35">
      <c r="A7" s="242" t="s">
        <v>1120</v>
      </c>
      <c r="B7" s="242" t="s">
        <v>123</v>
      </c>
      <c r="C7" s="241">
        <v>6.9100000000000003E-3</v>
      </c>
    </row>
    <row r="9" spans="1:4" x14ac:dyDescent="0.3">
      <c r="B9" s="240"/>
      <c r="C9" s="5"/>
      <c r="D9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N2" sqref="N2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  <col min="12" max="12" width="41.44140625" customWidth="1"/>
    <col min="13" max="13" width="11.44140625" customWidth="1"/>
  </cols>
  <sheetData>
    <row r="1" spans="1:14" ht="15" thickBot="1" x14ac:dyDescent="0.35">
      <c r="A1" s="291" t="s">
        <v>132</v>
      </c>
      <c r="B1" s="299" t="s">
        <v>133</v>
      </c>
      <c r="C1" s="9" t="s">
        <v>134</v>
      </c>
      <c r="D1" s="9" t="s">
        <v>123</v>
      </c>
      <c r="E1" s="10">
        <v>6.7000000000000002E-4</v>
      </c>
      <c r="L1" s="228" t="s">
        <v>91</v>
      </c>
      <c r="M1" t="s">
        <v>93</v>
      </c>
      <c r="N1" s="5" t="s">
        <v>131</v>
      </c>
    </row>
    <row r="2" spans="1:14" x14ac:dyDescent="0.3">
      <c r="A2" s="292"/>
      <c r="B2" s="298"/>
      <c r="C2" s="7" t="s">
        <v>135</v>
      </c>
      <c r="D2" s="7" t="s">
        <v>123</v>
      </c>
      <c r="E2" s="11">
        <v>1.01E-3</v>
      </c>
      <c r="L2" t="s">
        <v>1121</v>
      </c>
      <c r="M2" s="9" t="s">
        <v>123</v>
      </c>
      <c r="N2" s="10">
        <v>6.7000000000000002E-4</v>
      </c>
    </row>
    <row r="3" spans="1:14" x14ac:dyDescent="0.3">
      <c r="A3" s="292"/>
      <c r="B3" s="298"/>
      <c r="C3" s="7" t="s">
        <v>136</v>
      </c>
      <c r="D3" s="7" t="s">
        <v>123</v>
      </c>
      <c r="E3" s="11">
        <v>1.3500000000000001E-3</v>
      </c>
      <c r="L3" t="s">
        <v>1122</v>
      </c>
      <c r="M3" s="7" t="s">
        <v>123</v>
      </c>
      <c r="N3" s="11">
        <v>1.01E-3</v>
      </c>
    </row>
    <row r="4" spans="1:14" x14ac:dyDescent="0.3">
      <c r="A4" s="292"/>
      <c r="B4" s="298"/>
      <c r="C4" s="7" t="s">
        <v>137</v>
      </c>
      <c r="D4" s="7" t="s">
        <v>123</v>
      </c>
      <c r="E4" s="11">
        <v>1.72E-3</v>
      </c>
      <c r="L4" t="s">
        <v>1123</v>
      </c>
      <c r="M4" s="7" t="s">
        <v>123</v>
      </c>
      <c r="N4" s="11">
        <v>1.3500000000000001E-3</v>
      </c>
    </row>
    <row r="5" spans="1:14" x14ac:dyDescent="0.3">
      <c r="A5" s="292"/>
      <c r="B5" s="298"/>
      <c r="C5" s="7" t="s">
        <v>138</v>
      </c>
      <c r="D5" s="7" t="s">
        <v>123</v>
      </c>
      <c r="E5" s="11">
        <v>2.0899999999999998E-3</v>
      </c>
      <c r="L5" t="s">
        <v>1124</v>
      </c>
      <c r="M5" s="7" t="s">
        <v>123</v>
      </c>
      <c r="N5" s="11">
        <v>1.72E-3</v>
      </c>
    </row>
    <row r="6" spans="1:14" x14ac:dyDescent="0.3">
      <c r="A6" s="292"/>
      <c r="B6" s="298"/>
      <c r="C6" s="7" t="s">
        <v>139</v>
      </c>
      <c r="D6" s="7" t="s">
        <v>123</v>
      </c>
      <c r="E6" s="11">
        <v>7.6400000000000001E-3</v>
      </c>
      <c r="L6" t="s">
        <v>1125</v>
      </c>
      <c r="M6" s="7" t="s">
        <v>123</v>
      </c>
      <c r="N6" s="11">
        <v>2.0899999999999998E-3</v>
      </c>
    </row>
    <row r="7" spans="1:14" x14ac:dyDescent="0.3">
      <c r="A7" s="292"/>
      <c r="B7" s="298"/>
      <c r="C7" s="7" t="s">
        <v>140</v>
      </c>
      <c r="D7" s="7" t="s">
        <v>123</v>
      </c>
      <c r="E7" s="11">
        <v>1.0399999999999999E-3</v>
      </c>
      <c r="L7" t="s">
        <v>1126</v>
      </c>
      <c r="M7" s="7" t="s">
        <v>123</v>
      </c>
      <c r="N7" s="11">
        <v>7.6400000000000001E-3</v>
      </c>
    </row>
    <row r="8" spans="1:14" x14ac:dyDescent="0.3">
      <c r="A8" s="292"/>
      <c r="B8" s="298" t="s">
        <v>141</v>
      </c>
      <c r="C8" s="7" t="s">
        <v>142</v>
      </c>
      <c r="D8" s="7" t="s">
        <v>123</v>
      </c>
      <c r="E8" s="11">
        <v>1.31E-3</v>
      </c>
      <c r="L8" t="s">
        <v>1127</v>
      </c>
      <c r="M8" s="7" t="s">
        <v>123</v>
      </c>
      <c r="N8" s="11">
        <v>1.0399999999999999E-3</v>
      </c>
    </row>
    <row r="9" spans="1:14" x14ac:dyDescent="0.3">
      <c r="A9" s="292"/>
      <c r="B9" s="298"/>
      <c r="C9" s="7" t="s">
        <v>143</v>
      </c>
      <c r="D9" s="7" t="s">
        <v>123</v>
      </c>
      <c r="E9" s="11">
        <v>2.3600000000000001E-3</v>
      </c>
      <c r="L9" t="s">
        <v>1128</v>
      </c>
      <c r="M9" s="7" t="s">
        <v>123</v>
      </c>
      <c r="N9" s="11">
        <v>1.31E-3</v>
      </c>
    </row>
    <row r="10" spans="1:14" x14ac:dyDescent="0.3">
      <c r="A10" s="292"/>
      <c r="B10" s="298"/>
      <c r="C10" s="7" t="s">
        <v>144</v>
      </c>
      <c r="D10" s="7" t="s">
        <v>123</v>
      </c>
      <c r="E10" s="11">
        <v>4.2900000000000004E-3</v>
      </c>
      <c r="L10" t="s">
        <v>1129</v>
      </c>
      <c r="M10" s="7" t="s">
        <v>123</v>
      </c>
      <c r="N10" s="11">
        <v>2.3600000000000001E-3</v>
      </c>
    </row>
    <row r="11" spans="1:14" x14ac:dyDescent="0.3">
      <c r="A11" s="292"/>
      <c r="B11" s="298"/>
      <c r="C11" s="7" t="s">
        <v>145</v>
      </c>
      <c r="D11" s="7" t="s">
        <v>123</v>
      </c>
      <c r="E11" s="11">
        <v>6.7000000000000002E-3</v>
      </c>
      <c r="L11" t="s">
        <v>1130</v>
      </c>
      <c r="M11" s="7" t="s">
        <v>123</v>
      </c>
      <c r="N11" s="11">
        <v>4.2900000000000004E-3</v>
      </c>
    </row>
    <row r="12" spans="1:14" x14ac:dyDescent="0.3">
      <c r="A12" s="292"/>
      <c r="B12" s="298"/>
      <c r="C12" s="7" t="s">
        <v>146</v>
      </c>
      <c r="D12" s="7" t="s">
        <v>123</v>
      </c>
      <c r="E12" s="11">
        <v>1.0330000000000001E-2</v>
      </c>
      <c r="L12" t="s">
        <v>1131</v>
      </c>
      <c r="M12" s="7" t="s">
        <v>123</v>
      </c>
      <c r="N12" s="11">
        <v>6.7000000000000002E-3</v>
      </c>
    </row>
    <row r="13" spans="1:14" x14ac:dyDescent="0.3">
      <c r="A13" s="292"/>
      <c r="B13" s="298"/>
      <c r="C13" s="7" t="s">
        <v>140</v>
      </c>
      <c r="D13" s="7" t="s">
        <v>123</v>
      </c>
      <c r="E13" s="11">
        <v>2.0500000000000002E-3</v>
      </c>
      <c r="L13" t="s">
        <v>1132</v>
      </c>
      <c r="M13" s="7" t="s">
        <v>123</v>
      </c>
      <c r="N13" s="11">
        <v>1.0330000000000001E-2</v>
      </c>
    </row>
    <row r="14" spans="1:14" x14ac:dyDescent="0.3">
      <c r="A14" s="292"/>
      <c r="B14" s="298" t="s">
        <v>147</v>
      </c>
      <c r="C14" s="7" t="s">
        <v>148</v>
      </c>
      <c r="D14" s="7" t="s">
        <v>123</v>
      </c>
      <c r="E14" s="11">
        <v>1.9300000000000001E-3</v>
      </c>
      <c r="L14" t="s">
        <v>1133</v>
      </c>
      <c r="M14" s="7" t="s">
        <v>123</v>
      </c>
      <c r="N14" s="11">
        <v>2.0500000000000002E-3</v>
      </c>
    </row>
    <row r="15" spans="1:14" x14ac:dyDescent="0.3">
      <c r="A15" s="292"/>
      <c r="B15" s="298"/>
      <c r="C15" s="7" t="s">
        <v>144</v>
      </c>
      <c r="D15" s="7" t="s">
        <v>123</v>
      </c>
      <c r="E15" s="11">
        <v>2.48E-3</v>
      </c>
      <c r="L15" t="s">
        <v>1134</v>
      </c>
      <c r="M15" s="7" t="s">
        <v>123</v>
      </c>
      <c r="N15" s="11">
        <v>1.9300000000000001E-3</v>
      </c>
    </row>
    <row r="16" spans="1:14" x14ac:dyDescent="0.3">
      <c r="A16" s="292"/>
      <c r="B16" s="298"/>
      <c r="C16" s="7" t="s">
        <v>145</v>
      </c>
      <c r="D16" s="7" t="s">
        <v>123</v>
      </c>
      <c r="E16" s="11">
        <v>3.47E-3</v>
      </c>
      <c r="L16" t="s">
        <v>1135</v>
      </c>
      <c r="M16" s="7" t="s">
        <v>123</v>
      </c>
      <c r="N16" s="11">
        <v>2.48E-3</v>
      </c>
    </row>
    <row r="17" spans="1:14" x14ac:dyDescent="0.3">
      <c r="A17" s="292"/>
      <c r="B17" s="298"/>
      <c r="C17" s="7" t="s">
        <v>146</v>
      </c>
      <c r="D17" s="7" t="s">
        <v>123</v>
      </c>
      <c r="E17" s="11">
        <v>5.1000000000000004E-3</v>
      </c>
      <c r="L17" t="s">
        <v>1136</v>
      </c>
      <c r="M17" s="7" t="s">
        <v>123</v>
      </c>
      <c r="N17" s="11">
        <v>3.47E-3</v>
      </c>
    </row>
    <row r="18" spans="1:14" x14ac:dyDescent="0.3">
      <c r="A18" s="292"/>
      <c r="B18" s="298"/>
      <c r="C18" s="7" t="s">
        <v>140</v>
      </c>
      <c r="D18" s="7" t="s">
        <v>123</v>
      </c>
      <c r="E18" s="11">
        <v>2.3400000000000001E-3</v>
      </c>
      <c r="L18" t="s">
        <v>1137</v>
      </c>
      <c r="M18" s="7" t="s">
        <v>123</v>
      </c>
      <c r="N18" s="11">
        <v>5.1000000000000004E-3</v>
      </c>
    </row>
    <row r="19" spans="1:14" x14ac:dyDescent="0.3">
      <c r="A19" s="292"/>
      <c r="B19" s="298" t="s">
        <v>149</v>
      </c>
      <c r="C19" s="7" t="s">
        <v>150</v>
      </c>
      <c r="D19" s="7" t="s">
        <v>123</v>
      </c>
      <c r="E19" s="11">
        <v>2.14E-3</v>
      </c>
      <c r="L19" t="s">
        <v>1138</v>
      </c>
      <c r="M19" s="7" t="s">
        <v>123</v>
      </c>
      <c r="N19" s="11">
        <v>2.3400000000000001E-3</v>
      </c>
    </row>
    <row r="20" spans="1:14" x14ac:dyDescent="0.3">
      <c r="A20" s="292"/>
      <c r="B20" s="298"/>
      <c r="C20" s="7" t="s">
        <v>151</v>
      </c>
      <c r="D20" s="7" t="s">
        <v>123</v>
      </c>
      <c r="E20" s="11">
        <v>3.3300000000000001E-3</v>
      </c>
      <c r="L20" t="s">
        <v>1139</v>
      </c>
      <c r="M20" s="7" t="s">
        <v>123</v>
      </c>
      <c r="N20" s="11">
        <v>2.14E-3</v>
      </c>
    </row>
    <row r="21" spans="1:14" x14ac:dyDescent="0.3">
      <c r="A21" s="292"/>
      <c r="B21" s="298"/>
      <c r="C21" s="7" t="s">
        <v>140</v>
      </c>
      <c r="D21" s="7" t="s">
        <v>123</v>
      </c>
      <c r="E21" s="11">
        <v>2.6199999999999999E-3</v>
      </c>
      <c r="L21" t="s">
        <v>1140</v>
      </c>
      <c r="M21" s="7" t="s">
        <v>123</v>
      </c>
      <c r="N21" s="11">
        <v>3.3300000000000001E-3</v>
      </c>
    </row>
    <row r="22" spans="1:14" x14ac:dyDescent="0.3">
      <c r="A22" s="292"/>
      <c r="B22" s="298" t="s">
        <v>152</v>
      </c>
      <c r="C22" s="7" t="s">
        <v>153</v>
      </c>
      <c r="D22" s="7" t="s">
        <v>123</v>
      </c>
      <c r="E22" s="11">
        <v>2.0699999999999998E-3</v>
      </c>
      <c r="L22" t="s">
        <v>1141</v>
      </c>
      <c r="M22" s="7" t="s">
        <v>123</v>
      </c>
      <c r="N22" s="11">
        <v>2.6199999999999999E-3</v>
      </c>
    </row>
    <row r="23" spans="1:14" x14ac:dyDescent="0.3">
      <c r="A23" s="292"/>
      <c r="B23" s="298"/>
      <c r="C23" s="7" t="s">
        <v>154</v>
      </c>
      <c r="D23" s="7" t="s">
        <v>123</v>
      </c>
      <c r="E23" s="11">
        <v>9.9900000000000006E-3</v>
      </c>
      <c r="L23" t="s">
        <v>1142</v>
      </c>
      <c r="M23" s="7" t="s">
        <v>123</v>
      </c>
      <c r="N23" s="11">
        <v>2.0699999999999998E-3</v>
      </c>
    </row>
    <row r="24" spans="1:14" ht="15" thickBot="1" x14ac:dyDescent="0.35">
      <c r="A24" s="293"/>
      <c r="B24" s="300"/>
      <c r="C24" s="13" t="s">
        <v>140</v>
      </c>
      <c r="D24" s="13" t="s">
        <v>123</v>
      </c>
      <c r="E24" s="14">
        <v>2.3500000000000001E-3</v>
      </c>
      <c r="L24" t="s">
        <v>1143</v>
      </c>
      <c r="M24" s="7" t="s">
        <v>123</v>
      </c>
      <c r="N24" s="11">
        <v>9.9900000000000006E-3</v>
      </c>
    </row>
    <row r="25" spans="1:14" ht="15" thickBot="1" x14ac:dyDescent="0.35">
      <c r="A25" s="294" t="s">
        <v>155</v>
      </c>
      <c r="B25" s="299" t="s">
        <v>156</v>
      </c>
      <c r="C25" s="9" t="s">
        <v>134</v>
      </c>
      <c r="D25" s="9" t="s">
        <v>123</v>
      </c>
      <c r="E25" s="10">
        <v>5.6999999999999998E-4</v>
      </c>
      <c r="L25" t="s">
        <v>1144</v>
      </c>
      <c r="M25" s="13" t="s">
        <v>123</v>
      </c>
      <c r="N25" s="14">
        <v>2.3500000000000001E-3</v>
      </c>
    </row>
    <row r="26" spans="1:14" ht="15" customHeight="1" x14ac:dyDescent="0.3">
      <c r="A26" s="295"/>
      <c r="B26" s="298"/>
      <c r="C26" s="7" t="s">
        <v>157</v>
      </c>
      <c r="D26" s="7" t="s">
        <v>123</v>
      </c>
      <c r="E26" s="11">
        <v>6.8999999999999997E-4</v>
      </c>
      <c r="L26" t="s">
        <v>1145</v>
      </c>
      <c r="M26" s="9" t="s">
        <v>123</v>
      </c>
      <c r="N26" s="10">
        <v>5.6999999999999998E-4</v>
      </c>
    </row>
    <row r="27" spans="1:14" x14ac:dyDescent="0.3">
      <c r="A27" s="295"/>
      <c r="B27" s="298"/>
      <c r="C27" s="7" t="s">
        <v>158</v>
      </c>
      <c r="D27" s="7" t="s">
        <v>123</v>
      </c>
      <c r="E27" s="11">
        <v>9.3999999999999997E-4</v>
      </c>
      <c r="L27" t="s">
        <v>1146</v>
      </c>
      <c r="M27" s="7" t="s">
        <v>123</v>
      </c>
      <c r="N27" s="11">
        <v>6.8999999999999997E-4</v>
      </c>
    </row>
    <row r="28" spans="1:14" x14ac:dyDescent="0.3">
      <c r="A28" s="295"/>
      <c r="B28" s="298"/>
      <c r="C28" s="7" t="s">
        <v>159</v>
      </c>
      <c r="D28" s="7" t="s">
        <v>123</v>
      </c>
      <c r="E28" s="11">
        <v>1.31E-3</v>
      </c>
      <c r="L28" t="s">
        <v>1147</v>
      </c>
      <c r="M28" s="7" t="s">
        <v>123</v>
      </c>
      <c r="N28" s="11">
        <v>9.3999999999999997E-4</v>
      </c>
    </row>
    <row r="29" spans="1:14" x14ac:dyDescent="0.3">
      <c r="A29" s="295"/>
      <c r="B29" s="298"/>
      <c r="C29" s="7" t="s">
        <v>160</v>
      </c>
      <c r="D29" s="7" t="s">
        <v>123</v>
      </c>
      <c r="E29" s="11">
        <v>1.81E-3</v>
      </c>
      <c r="L29" t="s">
        <v>1149</v>
      </c>
      <c r="M29" s="7" t="s">
        <v>123</v>
      </c>
      <c r="N29" s="11">
        <v>1.31E-3</v>
      </c>
    </row>
    <row r="30" spans="1:14" x14ac:dyDescent="0.3">
      <c r="A30" s="295"/>
      <c r="B30" s="298"/>
      <c r="C30" s="7" t="s">
        <v>139</v>
      </c>
      <c r="D30" s="7" t="s">
        <v>123</v>
      </c>
      <c r="E30" s="11">
        <v>6.7000000000000002E-3</v>
      </c>
      <c r="L30" t="s">
        <v>1150</v>
      </c>
      <c r="M30" s="7" t="s">
        <v>123</v>
      </c>
      <c r="N30" s="11">
        <v>1.81E-3</v>
      </c>
    </row>
    <row r="31" spans="1:14" x14ac:dyDescent="0.3">
      <c r="A31" s="295"/>
      <c r="B31" s="298"/>
      <c r="C31" s="7" t="s">
        <v>140</v>
      </c>
      <c r="D31" s="7" t="s">
        <v>123</v>
      </c>
      <c r="E31" s="11">
        <v>8.0000000000000004E-4</v>
      </c>
      <c r="L31" t="s">
        <v>1151</v>
      </c>
      <c r="M31" s="7" t="s">
        <v>123</v>
      </c>
      <c r="N31" s="11">
        <v>6.7000000000000002E-3</v>
      </c>
    </row>
    <row r="32" spans="1:14" x14ac:dyDescent="0.3">
      <c r="A32" s="295"/>
      <c r="B32" s="298" t="s">
        <v>161</v>
      </c>
      <c r="C32" s="7" t="s">
        <v>162</v>
      </c>
      <c r="D32" s="7" t="s">
        <v>123</v>
      </c>
      <c r="E32" s="11">
        <v>2.7299999999999998E-3</v>
      </c>
      <c r="L32" t="s">
        <v>1148</v>
      </c>
      <c r="M32" s="7" t="s">
        <v>123</v>
      </c>
      <c r="N32" s="11">
        <v>8.0000000000000004E-4</v>
      </c>
    </row>
    <row r="33" spans="1:14" ht="15" customHeight="1" x14ac:dyDescent="0.3">
      <c r="A33" s="295"/>
      <c r="B33" s="298"/>
      <c r="C33" s="7" t="s">
        <v>145</v>
      </c>
      <c r="D33" s="7" t="s">
        <v>123</v>
      </c>
      <c r="E33" s="11">
        <v>3.63E-3</v>
      </c>
      <c r="L33" t="s">
        <v>1152</v>
      </c>
      <c r="M33" s="7" t="s">
        <v>123</v>
      </c>
      <c r="N33" s="11">
        <v>2.7299999999999998E-3</v>
      </c>
    </row>
    <row r="34" spans="1:14" x14ac:dyDescent="0.3">
      <c r="A34" s="295"/>
      <c r="B34" s="298"/>
      <c r="C34" s="7" t="s">
        <v>146</v>
      </c>
      <c r="D34" s="7" t="s">
        <v>123</v>
      </c>
      <c r="E34" s="11">
        <v>3.1900000000000001E-3</v>
      </c>
      <c r="L34" t="s">
        <v>1153</v>
      </c>
      <c r="M34" s="7" t="s">
        <v>123</v>
      </c>
      <c r="N34" s="11">
        <v>3.63E-3</v>
      </c>
    </row>
    <row r="35" spans="1:14" x14ac:dyDescent="0.3">
      <c r="A35" s="295"/>
      <c r="B35" s="298"/>
      <c r="C35" s="7" t="s">
        <v>163</v>
      </c>
      <c r="D35" s="7" t="s">
        <v>123</v>
      </c>
      <c r="E35" s="11">
        <v>2.5300000000000001E-3</v>
      </c>
      <c r="L35" t="s">
        <v>1154</v>
      </c>
      <c r="M35" s="7" t="s">
        <v>123</v>
      </c>
      <c r="N35" s="11">
        <v>3.1900000000000001E-3</v>
      </c>
    </row>
    <row r="36" spans="1:14" x14ac:dyDescent="0.3">
      <c r="A36" s="295"/>
      <c r="B36" s="298"/>
      <c r="C36" s="7" t="s">
        <v>164</v>
      </c>
      <c r="D36" s="7" t="s">
        <v>123</v>
      </c>
      <c r="E36" s="11">
        <v>4.0200000000000001E-3</v>
      </c>
      <c r="L36" t="s">
        <v>1155</v>
      </c>
      <c r="M36" s="7" t="s">
        <v>123</v>
      </c>
      <c r="N36" s="11">
        <v>2.5300000000000001E-3</v>
      </c>
    </row>
    <row r="37" spans="1:14" x14ac:dyDescent="0.3">
      <c r="A37" s="295"/>
      <c r="B37" s="298"/>
      <c r="C37" s="7" t="s">
        <v>165</v>
      </c>
      <c r="D37" s="7" t="s">
        <v>123</v>
      </c>
      <c r="E37" s="11">
        <v>4.5500000000000002E-3</v>
      </c>
      <c r="L37" t="s">
        <v>1156</v>
      </c>
      <c r="M37" s="7" t="s">
        <v>123</v>
      </c>
      <c r="N37" s="11">
        <v>4.0200000000000001E-3</v>
      </c>
    </row>
    <row r="38" spans="1:14" x14ac:dyDescent="0.3">
      <c r="A38" s="295"/>
      <c r="B38" s="298"/>
      <c r="C38" s="7" t="s">
        <v>140</v>
      </c>
      <c r="D38" s="7" t="s">
        <v>123</v>
      </c>
      <c r="E38" s="11">
        <v>3.0000000000000001E-3</v>
      </c>
      <c r="L38" t="s">
        <v>1157</v>
      </c>
      <c r="M38" s="7" t="s">
        <v>123</v>
      </c>
      <c r="N38" s="11">
        <v>4.5500000000000002E-3</v>
      </c>
    </row>
    <row r="39" spans="1:14" x14ac:dyDescent="0.3">
      <c r="A39" s="295"/>
      <c r="B39" s="298" t="s">
        <v>166</v>
      </c>
      <c r="C39" s="7" t="s">
        <v>167</v>
      </c>
      <c r="D39" s="7" t="s">
        <v>123</v>
      </c>
      <c r="E39" s="11">
        <v>2.8700000000000002E-3</v>
      </c>
      <c r="L39" t="s">
        <v>1158</v>
      </c>
      <c r="M39" s="7" t="s">
        <v>123</v>
      </c>
      <c r="N39" s="11">
        <v>3.0000000000000001E-3</v>
      </c>
    </row>
    <row r="40" spans="1:14" ht="15" customHeight="1" x14ac:dyDescent="0.3">
      <c r="A40" s="295"/>
      <c r="B40" s="298"/>
      <c r="C40" s="7" t="s">
        <v>168</v>
      </c>
      <c r="D40" s="7" t="s">
        <v>123</v>
      </c>
      <c r="E40" s="11">
        <v>3.81E-3</v>
      </c>
      <c r="L40" t="s">
        <v>1159</v>
      </c>
      <c r="M40" s="7" t="s">
        <v>123</v>
      </c>
      <c r="N40" s="11">
        <v>2.8700000000000002E-3</v>
      </c>
    </row>
    <row r="41" spans="1:14" x14ac:dyDescent="0.3">
      <c r="A41" s="295"/>
      <c r="B41" s="298"/>
      <c r="C41" s="7" t="s">
        <v>169</v>
      </c>
      <c r="D41" s="7" t="s">
        <v>123</v>
      </c>
      <c r="E41" s="11">
        <v>3.81E-3</v>
      </c>
      <c r="L41" t="s">
        <v>1160</v>
      </c>
      <c r="M41" s="7" t="s">
        <v>123</v>
      </c>
      <c r="N41" s="11">
        <v>3.81E-3</v>
      </c>
    </row>
    <row r="42" spans="1:14" x14ac:dyDescent="0.3">
      <c r="A42" s="295"/>
      <c r="B42" s="298"/>
      <c r="C42" s="7" t="s">
        <v>170</v>
      </c>
      <c r="D42" s="7" t="s">
        <v>123</v>
      </c>
      <c r="E42" s="11">
        <v>4.5900000000000003E-3</v>
      </c>
      <c r="L42" t="s">
        <v>1161</v>
      </c>
      <c r="M42" s="7" t="s">
        <v>123</v>
      </c>
      <c r="N42" s="11">
        <v>3.81E-3</v>
      </c>
    </row>
    <row r="43" spans="1:14" x14ac:dyDescent="0.3">
      <c r="A43" s="295"/>
      <c r="B43" s="298"/>
      <c r="C43" s="7" t="s">
        <v>171</v>
      </c>
      <c r="D43" s="7" t="s">
        <v>123</v>
      </c>
      <c r="E43" s="11">
        <v>7.3699999999999998E-3</v>
      </c>
      <c r="L43" t="s">
        <v>1162</v>
      </c>
      <c r="M43" s="7" t="s">
        <v>123</v>
      </c>
      <c r="N43" s="11">
        <v>4.5900000000000003E-3</v>
      </c>
    </row>
    <row r="44" spans="1:14" x14ac:dyDescent="0.3">
      <c r="A44" s="295"/>
      <c r="B44" s="298"/>
      <c r="C44" s="7" t="s">
        <v>172</v>
      </c>
      <c r="D44" s="7" t="s">
        <v>123</v>
      </c>
      <c r="E44" s="11">
        <v>8.3300000000000006E-3</v>
      </c>
      <c r="L44" t="s">
        <v>1163</v>
      </c>
      <c r="M44" s="7" t="s">
        <v>123</v>
      </c>
      <c r="N44" s="11">
        <v>7.3699999999999998E-3</v>
      </c>
    </row>
    <row r="45" spans="1:14" x14ac:dyDescent="0.3">
      <c r="A45" s="295"/>
      <c r="B45" s="298"/>
      <c r="C45" s="7" t="s">
        <v>140</v>
      </c>
      <c r="D45" s="7" t="s">
        <v>123</v>
      </c>
      <c r="E45" s="11">
        <v>3.65E-3</v>
      </c>
      <c r="L45" t="s">
        <v>1164</v>
      </c>
      <c r="M45" s="7" t="s">
        <v>123</v>
      </c>
      <c r="N45" s="11">
        <v>8.3300000000000006E-3</v>
      </c>
    </row>
    <row r="46" spans="1:14" x14ac:dyDescent="0.3">
      <c r="A46" s="295"/>
      <c r="B46" s="298" t="s">
        <v>173</v>
      </c>
      <c r="C46" s="7" t="s">
        <v>174</v>
      </c>
      <c r="D46" s="7" t="s">
        <v>123</v>
      </c>
      <c r="E46" s="11">
        <v>7.3499999999999998E-3</v>
      </c>
      <c r="L46" t="s">
        <v>1165</v>
      </c>
      <c r="M46" s="7" t="s">
        <v>123</v>
      </c>
      <c r="N46" s="11">
        <v>3.65E-3</v>
      </c>
    </row>
    <row r="47" spans="1:14" ht="15" customHeight="1" x14ac:dyDescent="0.3">
      <c r="A47" s="295"/>
      <c r="B47" s="298"/>
      <c r="C47" s="7" t="s">
        <v>175</v>
      </c>
      <c r="D47" s="7" t="s">
        <v>123</v>
      </c>
      <c r="E47" s="11">
        <v>1.3220000000000001E-2</v>
      </c>
      <c r="L47" t="s">
        <v>1166</v>
      </c>
      <c r="M47" s="7" t="s">
        <v>123</v>
      </c>
      <c r="N47" s="11">
        <v>7.3499999999999998E-3</v>
      </c>
    </row>
    <row r="48" spans="1:14" x14ac:dyDescent="0.3">
      <c r="A48" s="295"/>
      <c r="B48" s="298"/>
      <c r="C48" s="7" t="s">
        <v>140</v>
      </c>
      <c r="D48" s="7" t="s">
        <v>123</v>
      </c>
      <c r="E48" s="11">
        <v>8.7299999999999999E-3</v>
      </c>
      <c r="L48" t="s">
        <v>1167</v>
      </c>
      <c r="M48" s="7" t="s">
        <v>123</v>
      </c>
      <c r="N48" s="11">
        <v>1.3220000000000001E-2</v>
      </c>
    </row>
    <row r="49" spans="1:14" x14ac:dyDescent="0.3">
      <c r="A49" s="295"/>
      <c r="B49" s="298" t="s">
        <v>176</v>
      </c>
      <c r="C49" s="7" t="s">
        <v>177</v>
      </c>
      <c r="D49" s="7" t="s">
        <v>123</v>
      </c>
      <c r="E49" s="11">
        <v>1.136E-2</v>
      </c>
      <c r="L49" t="s">
        <v>1168</v>
      </c>
      <c r="M49" s="7" t="s">
        <v>123</v>
      </c>
      <c r="N49" s="11">
        <v>8.7299999999999999E-3</v>
      </c>
    </row>
    <row r="50" spans="1:14" ht="15" customHeight="1" x14ac:dyDescent="0.3">
      <c r="A50" s="295"/>
      <c r="B50" s="298"/>
      <c r="C50" s="7" t="s">
        <v>178</v>
      </c>
      <c r="D50" s="7" t="s">
        <v>123</v>
      </c>
      <c r="E50" s="11">
        <v>1.384E-2</v>
      </c>
      <c r="L50" t="s">
        <v>1169</v>
      </c>
      <c r="M50" s="7" t="s">
        <v>123</v>
      </c>
      <c r="N50" s="11">
        <v>1.136E-2</v>
      </c>
    </row>
    <row r="51" spans="1:14" x14ac:dyDescent="0.3">
      <c r="A51" s="295"/>
      <c r="B51" s="298"/>
      <c r="C51" s="7" t="s">
        <v>140</v>
      </c>
      <c r="D51" s="7" t="s">
        <v>123</v>
      </c>
      <c r="E51" s="11">
        <v>1.17E-2</v>
      </c>
      <c r="L51" t="s">
        <v>1170</v>
      </c>
      <c r="M51" s="7" t="s">
        <v>123</v>
      </c>
      <c r="N51" s="11">
        <v>1.384E-2</v>
      </c>
    </row>
    <row r="52" spans="1:14" x14ac:dyDescent="0.3">
      <c r="A52" s="295"/>
      <c r="B52" s="246" t="s">
        <v>179</v>
      </c>
      <c r="C52" s="7" t="s">
        <v>140</v>
      </c>
      <c r="D52" s="7" t="s">
        <v>123</v>
      </c>
      <c r="E52" s="11">
        <v>8.5279999999999995E-2</v>
      </c>
      <c r="L52" t="s">
        <v>1171</v>
      </c>
      <c r="M52" s="7" t="s">
        <v>123</v>
      </c>
      <c r="N52" s="11">
        <v>1.17E-2</v>
      </c>
    </row>
    <row r="53" spans="1:14" ht="15" thickBot="1" x14ac:dyDescent="0.35">
      <c r="A53" s="296"/>
      <c r="B53" s="247" t="s">
        <v>180</v>
      </c>
      <c r="C53" s="13" t="s">
        <v>181</v>
      </c>
      <c r="D53" s="13" t="s">
        <v>123</v>
      </c>
      <c r="E53" s="14">
        <v>2.96E-3</v>
      </c>
      <c r="L53" t="s">
        <v>1172</v>
      </c>
      <c r="M53" s="7" t="s">
        <v>123</v>
      </c>
      <c r="N53" s="11">
        <v>8.5279999999999995E-2</v>
      </c>
    </row>
    <row r="54" spans="1:14" ht="15" thickBot="1" x14ac:dyDescent="0.35">
      <c r="L54" t="s">
        <v>1173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workbookViewId="0">
      <selection activeCell="G16" sqref="G16"/>
    </sheetView>
  </sheetViews>
  <sheetFormatPr defaultRowHeight="14.4" x14ac:dyDescent="0.3"/>
  <cols>
    <col min="1" max="1" width="17.109375" customWidth="1"/>
    <col min="3" max="3" width="14.6640625" customWidth="1"/>
    <col min="7" max="7" width="12.88671875" customWidth="1"/>
  </cols>
  <sheetData>
    <row r="1" spans="1:10" x14ac:dyDescent="0.3">
      <c r="A1" s="218" t="s">
        <v>1189</v>
      </c>
      <c r="B1" s="5"/>
      <c r="C1" s="5" t="str">
        <f>A2</f>
        <v>Electronics</v>
      </c>
      <c r="D1" t="s">
        <v>1181</v>
      </c>
      <c r="E1" t="str">
        <f>A3</f>
        <v>Energy</v>
      </c>
      <c r="F1" t="s">
        <v>1181</v>
      </c>
      <c r="G1" t="str">
        <f>A4</f>
        <v>Consumables</v>
      </c>
      <c r="H1" t="s">
        <v>1181</v>
      </c>
      <c r="I1" t="str">
        <f>A5</f>
        <v>Services</v>
      </c>
      <c r="J1" t="s">
        <v>1181</v>
      </c>
    </row>
    <row r="2" spans="1:10" x14ac:dyDescent="0.3">
      <c r="A2" t="s">
        <v>613</v>
      </c>
      <c r="C2" t="s">
        <v>1174</v>
      </c>
      <c r="D2">
        <v>1</v>
      </c>
      <c r="E2" t="s">
        <v>1180</v>
      </c>
      <c r="F2">
        <v>13</v>
      </c>
      <c r="G2" t="s">
        <v>1183</v>
      </c>
      <c r="H2">
        <v>3</v>
      </c>
      <c r="I2" t="s">
        <v>1187</v>
      </c>
      <c r="J2">
        <v>43</v>
      </c>
    </row>
    <row r="3" spans="1:10" x14ac:dyDescent="0.3">
      <c r="A3" t="s">
        <v>1175</v>
      </c>
      <c r="C3" t="s">
        <v>1178</v>
      </c>
      <c r="D3">
        <v>2</v>
      </c>
      <c r="E3" t="s">
        <v>1182</v>
      </c>
      <c r="F3">
        <v>43</v>
      </c>
      <c r="G3" t="s">
        <v>1184</v>
      </c>
      <c r="H3">
        <v>4</v>
      </c>
      <c r="I3" t="s">
        <v>1179</v>
      </c>
      <c r="J3">
        <v>34</v>
      </c>
    </row>
    <row r="4" spans="1:10" x14ac:dyDescent="0.3">
      <c r="A4" t="s">
        <v>1176</v>
      </c>
      <c r="C4" t="s">
        <v>1179</v>
      </c>
      <c r="D4">
        <v>3</v>
      </c>
      <c r="E4" t="s">
        <v>1182</v>
      </c>
      <c r="F4">
        <v>42</v>
      </c>
      <c r="G4" t="s">
        <v>1186</v>
      </c>
      <c r="H4">
        <v>2</v>
      </c>
      <c r="I4" t="s">
        <v>1183</v>
      </c>
      <c r="J4">
        <v>43</v>
      </c>
    </row>
    <row r="5" spans="1:10" x14ac:dyDescent="0.3">
      <c r="A5" t="s">
        <v>1177</v>
      </c>
      <c r="C5" t="s">
        <v>1180</v>
      </c>
      <c r="D5">
        <v>4</v>
      </c>
      <c r="E5" t="s">
        <v>1179</v>
      </c>
      <c r="F5">
        <v>42</v>
      </c>
      <c r="G5" t="s">
        <v>1185</v>
      </c>
      <c r="H5">
        <v>5</v>
      </c>
      <c r="I5" t="s">
        <v>1188</v>
      </c>
      <c r="J5">
        <v>24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6866-CC52-4B36-986B-C6BF1DEA1D59}">
  <dimension ref="A1:B5"/>
  <sheetViews>
    <sheetView workbookViewId="0">
      <selection activeCell="E5" sqref="E5"/>
    </sheetView>
  </sheetViews>
  <sheetFormatPr defaultRowHeight="14.4" x14ac:dyDescent="0.3"/>
  <cols>
    <col min="1" max="1" width="11.5546875" customWidth="1"/>
  </cols>
  <sheetData>
    <row r="1" spans="1:2" x14ac:dyDescent="0.3">
      <c r="A1" t="s">
        <v>1194</v>
      </c>
      <c r="B1" t="s">
        <v>1181</v>
      </c>
    </row>
    <row r="2" spans="1:2" x14ac:dyDescent="0.3">
      <c r="A2" t="s">
        <v>1190</v>
      </c>
      <c r="B2">
        <v>1</v>
      </c>
    </row>
    <row r="3" spans="1:2" x14ac:dyDescent="0.3">
      <c r="A3" t="s">
        <v>1191</v>
      </c>
      <c r="B3">
        <v>2</v>
      </c>
    </row>
    <row r="4" spans="1:2" x14ac:dyDescent="0.3">
      <c r="A4" t="s">
        <v>1192</v>
      </c>
      <c r="B4">
        <v>3</v>
      </c>
    </row>
    <row r="5" spans="1:2" x14ac:dyDescent="0.3">
      <c r="A5" t="s">
        <v>1193</v>
      </c>
      <c r="B5">
        <v>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0D59-E4D1-471E-9848-DB3F19451A42}">
  <dimension ref="A1:B4"/>
  <sheetViews>
    <sheetView tabSelected="1" workbookViewId="0">
      <selection activeCell="D1" sqref="D1"/>
    </sheetView>
  </sheetViews>
  <sheetFormatPr defaultRowHeight="14.4" x14ac:dyDescent="0.3"/>
  <sheetData>
    <row r="1" spans="1:2" ht="28.8" x14ac:dyDescent="0.3">
      <c r="A1" s="162" t="s">
        <v>1199</v>
      </c>
      <c r="B1" s="162" t="s">
        <v>1181</v>
      </c>
    </row>
    <row r="2" spans="1:2" x14ac:dyDescent="0.3">
      <c r="A2" t="s">
        <v>1200</v>
      </c>
      <c r="B2">
        <v>2.21</v>
      </c>
    </row>
    <row r="3" spans="1:2" x14ac:dyDescent="0.3">
      <c r="A3" t="s">
        <v>1201</v>
      </c>
      <c r="B3">
        <v>2.2999999999999998</v>
      </c>
    </row>
    <row r="4" spans="1:2" x14ac:dyDescent="0.3">
      <c r="A4" t="s">
        <v>1202</v>
      </c>
      <c r="B4">
        <v>1.2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Sheet1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Sheet5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2026-01-12T16:09:43Z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