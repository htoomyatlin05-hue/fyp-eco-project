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hit\Documents\GitHub\fyp-eco-project\SPHERE\"/>
    </mc:Choice>
  </mc:AlternateContent>
  <xr:revisionPtr revIDLastSave="0" documentId="13_ncr:1_{D1C5BD5F-3976-4C8C-A73F-352EE5D553B3}" xr6:coauthVersionLast="47" xr6:coauthVersionMax="47" xr10:uidLastSave="{00000000-0000-0000-0000-000000000000}"/>
  <bookViews>
    <workbookView xWindow="-108" yWindow="-108" windowWidth="23256" windowHeight="12456" activeTab="1" xr2:uid="{5462503A-A9EB-4450-AC80-31FA53E589A8}"/>
  </bookViews>
  <sheets>
    <sheet name="Data Sheet" sheetId="1" r:id="rId1"/>
    <sheet name="Materials" sheetId="17" r:id="rId2"/>
    <sheet name="Transport WTT" sheetId="2" r:id="rId3"/>
    <sheet name="Transport" sheetId="12" r:id="rId4"/>
    <sheet name="Machine Types" sheetId="13" r:id="rId5"/>
    <sheet name="Recycling" sheetId="14" r:id="rId6"/>
    <sheet name="Packaging" sheetId="16" r:id="rId7"/>
    <sheet name="Manufacturing" sheetId="15" r:id="rId8"/>
    <sheet name="Test Page" sheetId="3" r:id="rId9"/>
    <sheet name="Transport Test Page" sheetId="5" r:id="rId10"/>
    <sheet name="Van" sheetId="6" r:id="rId11"/>
    <sheet name="HGV" sheetId="7" r:id="rId12"/>
    <sheet name="Freight Flight" sheetId="8" r:id="rId13"/>
    <sheet name="Rail" sheetId="9" r:id="rId14"/>
    <sheet name="Ship" sheetId="10" r:id="rId15"/>
  </sheets>
  <definedNames>
    <definedName name="wttTrans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3" i="2" l="1"/>
  <c r="B80" i="2"/>
  <c r="B73" i="2"/>
  <c r="B66" i="2"/>
  <c r="B55" i="2"/>
  <c r="B52" i="2"/>
  <c r="B47" i="2"/>
  <c r="B41" i="2"/>
  <c r="B34" i="2"/>
</calcChain>
</file>

<file path=xl/sharedStrings.xml><?xml version="1.0" encoding="utf-8"?>
<sst xmlns="http://schemas.openxmlformats.org/spreadsheetml/2006/main" count="961" uniqueCount="243">
  <si>
    <t>Country</t>
  </si>
  <si>
    <t>Distance to Singapore (km)</t>
  </si>
  <si>
    <t>Steel (Co2ekg/kg)</t>
  </si>
  <si>
    <t>Aluminium (Co2ekg/kg)</t>
  </si>
  <si>
    <t>Cement (Co2ekg/kg)</t>
  </si>
  <si>
    <t>Electricity Co2ekg/kWh</t>
  </si>
  <si>
    <t>Global Plastic (Co2ekg/kg)</t>
  </si>
  <si>
    <t>Global Carbon Fibre (Co2ekg/kg)</t>
  </si>
  <si>
    <t>Algeria</t>
  </si>
  <si>
    <t>Albania</t>
  </si>
  <si>
    <t>Argentina</t>
  </si>
  <si>
    <t>Austria</t>
  </si>
  <si>
    <t>Australia</t>
  </si>
  <si>
    <t>Azerbaijan</t>
  </si>
  <si>
    <t>Bangladesh</t>
  </si>
  <si>
    <t>Belarus</t>
  </si>
  <si>
    <t>Belgium</t>
  </si>
  <si>
    <t>Bahrain</t>
  </si>
  <si>
    <t>Brazil</t>
  </si>
  <si>
    <t>Bulgaria</t>
  </si>
  <si>
    <t>Canada</t>
  </si>
  <si>
    <t>Cameroon</t>
  </si>
  <si>
    <t>Chile</t>
  </si>
  <si>
    <t>China</t>
  </si>
  <si>
    <t>Czechia</t>
  </si>
  <si>
    <t>Ecuador</t>
  </si>
  <si>
    <t>Egypt</t>
  </si>
  <si>
    <t>Finland</t>
  </si>
  <si>
    <t>France</t>
  </si>
  <si>
    <t>Germany</t>
  </si>
  <si>
    <t>Ghana</t>
  </si>
  <si>
    <t>Guatemala</t>
  </si>
  <si>
    <t>Greece</t>
  </si>
  <si>
    <t>Hungary</t>
  </si>
  <si>
    <t>Iceland</t>
  </si>
  <si>
    <t>Iraq</t>
  </si>
  <si>
    <t>India</t>
  </si>
  <si>
    <t>Iran</t>
  </si>
  <si>
    <t xml:space="preserve">Indonesia </t>
  </si>
  <si>
    <t>Ireland</t>
  </si>
  <si>
    <t>Israel</t>
  </si>
  <si>
    <t>Italy</t>
  </si>
  <si>
    <t>Japan</t>
  </si>
  <si>
    <t>Kuwait</t>
  </si>
  <si>
    <t>Kazakhstan</t>
  </si>
  <si>
    <t>Luxemburg</t>
  </si>
  <si>
    <t>Lithuania</t>
  </si>
  <si>
    <t>Libya</t>
  </si>
  <si>
    <t>Malaysia</t>
  </si>
  <si>
    <t>Mexico</t>
  </si>
  <si>
    <t>Morocco</t>
  </si>
  <si>
    <t>Mozambique</t>
  </si>
  <si>
    <t>Myanmar</t>
  </si>
  <si>
    <t>6. 8</t>
  </si>
  <si>
    <t>Moldova</t>
  </si>
  <si>
    <t>Netherlands</t>
  </si>
  <si>
    <t>New Zealand</t>
  </si>
  <si>
    <t>Nigeria</t>
  </si>
  <si>
    <t>Nepal</t>
  </si>
  <si>
    <t>Norway</t>
  </si>
  <si>
    <t>Oman</t>
  </si>
  <si>
    <t>Pakistan</t>
  </si>
  <si>
    <t>Philippines</t>
  </si>
  <si>
    <t>Portugal</t>
  </si>
  <si>
    <t>Peru</t>
  </si>
  <si>
    <t>Poland</t>
  </si>
  <si>
    <t>Qatar</t>
  </si>
  <si>
    <t>Romania</t>
  </si>
  <si>
    <t>Russia</t>
  </si>
  <si>
    <t>Saudi Arabia</t>
  </si>
  <si>
    <t>Serbia</t>
  </si>
  <si>
    <t>Singapore</t>
  </si>
  <si>
    <t>Slovakia</t>
  </si>
  <si>
    <t>Sri Lanka</t>
  </si>
  <si>
    <t>South Korea</t>
  </si>
  <si>
    <t>Slovenia</t>
  </si>
  <si>
    <t>Syrian Arab</t>
  </si>
  <si>
    <t>South Africa</t>
  </si>
  <si>
    <t>Spain</t>
  </si>
  <si>
    <t>Sweden</t>
  </si>
  <si>
    <t>Switzerland</t>
  </si>
  <si>
    <t>Thailand</t>
  </si>
  <si>
    <t>Turkiye</t>
  </si>
  <si>
    <t>Taiwan</t>
  </si>
  <si>
    <t>Ukraine</t>
  </si>
  <si>
    <t>United Kingdom</t>
  </si>
  <si>
    <t>Uganda</t>
  </si>
  <si>
    <t>Uzbekistan</t>
  </si>
  <si>
    <t>United Arab Emirates</t>
  </si>
  <si>
    <t>United States of America</t>
  </si>
  <si>
    <t>Vietnam</t>
  </si>
  <si>
    <t>Mode of Transport</t>
  </si>
  <si>
    <t>Type</t>
  </si>
  <si>
    <t>Unit</t>
  </si>
  <si>
    <t>Co2ekg (Diesel)</t>
  </si>
  <si>
    <t>Co2ekg (Petrol)</t>
  </si>
  <si>
    <t>Co2ekg (Battery)</t>
  </si>
  <si>
    <t>Van</t>
  </si>
  <si>
    <t>Class One (up to 1305kg)</t>
  </si>
  <si>
    <t>km</t>
  </si>
  <si>
    <t>Class Two (1305kg to 1704kg)</t>
  </si>
  <si>
    <t>Class One (1704kg to 3500kg)</t>
  </si>
  <si>
    <t>Average (up to 3500kg)</t>
  </si>
  <si>
    <t>0% Laden</t>
  </si>
  <si>
    <t>50% Laden</t>
  </si>
  <si>
    <t>100% Laden</t>
  </si>
  <si>
    <t>Average Laden</t>
  </si>
  <si>
    <t>HGV (Diesel)</t>
  </si>
  <si>
    <t>Rigid (&gt; 3500kg to 7500kg)</t>
  </si>
  <si>
    <t>Rigid (&gt;7500kg to 17000kg)</t>
  </si>
  <si>
    <t>Rigid (&gt; 17000kg)</t>
  </si>
  <si>
    <t>All Rigids</t>
  </si>
  <si>
    <t>Articulated ( &gt;3500kg to 33000kg)</t>
  </si>
  <si>
    <t>Articulated ( &gt;33000kg)</t>
  </si>
  <si>
    <t>All Artics</t>
  </si>
  <si>
    <t>All HVGs</t>
  </si>
  <si>
    <t>HGV Refrigerated (Diesel)</t>
  </si>
  <si>
    <t>With RF</t>
  </si>
  <si>
    <t xml:space="preserve"> Without RF</t>
  </si>
  <si>
    <t>&lt; 1500km</t>
  </si>
  <si>
    <t>&gt; 1500km</t>
  </si>
  <si>
    <t>Freight Flights</t>
  </si>
  <si>
    <t>International</t>
  </si>
  <si>
    <t>1000kgkm</t>
  </si>
  <si>
    <t>0.13516 (With RF)</t>
  </si>
  <si>
    <t>0.13516 (Without RF)</t>
  </si>
  <si>
    <t>Belly Freight Flights</t>
  </si>
  <si>
    <t>Freighter</t>
  </si>
  <si>
    <t>Rail</t>
  </si>
  <si>
    <t>Freight Train</t>
  </si>
  <si>
    <t>Size</t>
  </si>
  <si>
    <t>Co2ekg</t>
  </si>
  <si>
    <t>Sea Tanker</t>
  </si>
  <si>
    <t>Crude tanker</t>
  </si>
  <si>
    <t>200,000+ dwt</t>
  </si>
  <si>
    <t>120,000–199,999 dwt</t>
  </si>
  <si>
    <t>80,000–119,999 dwt</t>
  </si>
  <si>
    <t>60,000–79,999 dwt</t>
  </si>
  <si>
    <t>10,000–59,999 dwt</t>
  </si>
  <si>
    <t>0–9999 dwt</t>
  </si>
  <si>
    <t>Average</t>
  </si>
  <si>
    <t xml:space="preserve">Products tanker </t>
  </si>
  <si>
    <t>60,000+ dwt</t>
  </si>
  <si>
    <t>20,000–59,999 dwt</t>
  </si>
  <si>
    <t>10,000–19,999 dwt</t>
  </si>
  <si>
    <t>5000–9999 dwt</t>
  </si>
  <si>
    <t>0–4999 dwt</t>
  </si>
  <si>
    <t xml:space="preserve">Chemical tanker </t>
  </si>
  <si>
    <t>20,000+ dwt</t>
  </si>
  <si>
    <t>LNG tanker</t>
  </si>
  <si>
    <t>200,000+ m3</t>
  </si>
  <si>
    <t>0–199,999 m3</t>
  </si>
  <si>
    <t>LPG Tanker</t>
  </si>
  <si>
    <t>50,000+ m3</t>
  </si>
  <si>
    <t>0–49,999 m3</t>
  </si>
  <si>
    <t>Cargo Ship</t>
  </si>
  <si>
    <t>Bulk carrier</t>
  </si>
  <si>
    <t>100,000–199,999 dwt</t>
  </si>
  <si>
    <t>60,000–99,999 dwt</t>
  </si>
  <si>
    <t>35,000–59,999 dwt</t>
  </si>
  <si>
    <t>10,000–34,999 dwt</t>
  </si>
  <si>
    <t>General cargo</t>
  </si>
  <si>
    <t>10,000+ dwt</t>
  </si>
  <si>
    <t>10,000+ dwt 100+ TEU</t>
  </si>
  <si>
    <t>5000–9999 dwt 100+ TEU</t>
  </si>
  <si>
    <t>0–4999 dwt 100+ TEU</t>
  </si>
  <si>
    <t>Container ship</t>
  </si>
  <si>
    <t>8000+ TEU</t>
  </si>
  <si>
    <t>5000–7999 TEU</t>
  </si>
  <si>
    <t>3000–4999 TEU</t>
  </si>
  <si>
    <t>2000–2999 TEU</t>
  </si>
  <si>
    <t>1000–1999 TEU</t>
  </si>
  <si>
    <t>0–999 TEU</t>
  </si>
  <si>
    <t>Vehicle transport</t>
  </si>
  <si>
    <t>4000+ CEU</t>
  </si>
  <si>
    <t>0–3999 CEU</t>
  </si>
  <si>
    <t>RoRo-Ferry</t>
  </si>
  <si>
    <t>2000+ LM</t>
  </si>
  <si>
    <t>0–1999 LM</t>
  </si>
  <si>
    <t>Large RoPax ferry</t>
  </si>
  <si>
    <t>Refrigerated cargo</t>
  </si>
  <si>
    <t>All dwt</t>
  </si>
  <si>
    <t>Co2eKg</t>
  </si>
  <si>
    <t>Products tanker</t>
  </si>
  <si>
    <t>Chemical tanker</t>
  </si>
  <si>
    <t>LPG tanker</t>
  </si>
  <si>
    <t>Bulk Carrier</t>
  </si>
  <si>
    <t>NIL</t>
  </si>
  <si>
    <t>Crude Tanker</t>
  </si>
  <si>
    <t>Changes here:</t>
  </si>
  <si>
    <t>Products Tanker</t>
  </si>
  <si>
    <t>Chemical Tanker</t>
  </si>
  <si>
    <t>LNG Tanker</t>
  </si>
  <si>
    <t>General Cargo</t>
  </si>
  <si>
    <t>Container Ship</t>
  </si>
  <si>
    <t>Vehicle Transport</t>
  </si>
  <si>
    <t>Machine</t>
  </si>
  <si>
    <t>Specific Energy Use (kWh/kg)</t>
  </si>
  <si>
    <t>CNC (YCM1)</t>
  </si>
  <si>
    <t>CNC (YCM4)</t>
  </si>
  <si>
    <t>Surface Grinder (S.G)</t>
  </si>
  <si>
    <t>CNC (RB8)</t>
  </si>
  <si>
    <t>Wire Cut (W/C)</t>
  </si>
  <si>
    <t xml:space="preserve">Rokou Roku Micro Fine Precision Machine Center </t>
  </si>
  <si>
    <t>Metal Type</t>
  </si>
  <si>
    <t>Aluminium</t>
  </si>
  <si>
    <t xml:space="preserve">    </t>
  </si>
  <si>
    <t>Grid Carbon Intensity  (kg CO₂e/kWh)</t>
  </si>
  <si>
    <r>
      <t>CO₂e per hour</t>
    </r>
    <r>
      <rPr>
        <sz val="11"/>
        <color rgb="FF000000"/>
        <rFont val="Aptos Narrow"/>
        <family val="2"/>
        <scheme val="minor"/>
      </rPr>
      <t xml:space="preserve"> = </t>
    </r>
    <r>
      <rPr>
        <sz val="11"/>
        <color rgb="FF000000"/>
        <rFont val="Aptos Narrow"/>
        <scheme val="minor"/>
      </rPr>
      <t>Power consumption (kW) × Country-specific CO₂e intensity/Grid Carbon Intensity (kgCO₂e/kWh)</t>
    </r>
  </si>
  <si>
    <r>
      <t>Carbon emission from manufacturing</t>
    </r>
    <r>
      <rPr>
        <sz val="11"/>
        <color rgb="FF000000"/>
        <rFont val="Aptos Narrow"/>
        <family val="2"/>
        <scheme val="minor"/>
      </rPr>
      <t>: specific energy use x grid power intensity (SG) x raw matl prod(page 1) x weight x machining time</t>
    </r>
  </si>
  <si>
    <t>CO₂e per kg (or per operation) = Power consumption (kWh/kg) × Country CO₂ intensity (kg CO₂e/kWh)</t>
  </si>
  <si>
    <r>
      <t xml:space="preserve">Source: </t>
    </r>
    <r>
      <rPr>
        <b/>
        <sz val="11"/>
        <color rgb="FF000000"/>
        <rFont val="Aptos Narrow"/>
        <scheme val="minor"/>
      </rPr>
      <t>Milling</t>
    </r>
    <r>
      <rPr>
        <sz val="11"/>
        <color rgb="FF000000"/>
        <rFont val="Aptos Narrow"/>
        <family val="2"/>
        <scheme val="minor"/>
      </rPr>
      <t xml:space="preserve"> https://tinyurl.com/mr26vn39 </t>
    </r>
    <r>
      <rPr>
        <b/>
        <sz val="11"/>
        <color rgb="FF000000"/>
        <rFont val="Aptos Narrow"/>
        <scheme val="minor"/>
      </rPr>
      <t>page 28</t>
    </r>
  </si>
  <si>
    <r>
      <t xml:space="preserve">  </t>
    </r>
    <r>
      <rPr>
        <b/>
        <sz val="11"/>
        <color rgb="FF000000"/>
        <rFont val="Aptos Narrow"/>
        <scheme val="minor"/>
      </rPr>
      <t xml:space="preserve">Lathe: </t>
    </r>
    <r>
      <rPr>
        <sz val="11"/>
        <color rgb="FF000000"/>
        <rFont val="Aptos Narrow"/>
        <scheme val="minor"/>
      </rPr>
      <t>https://tinyurl.com/mr26vn39</t>
    </r>
    <r>
      <rPr>
        <b/>
        <sz val="11"/>
        <color rgb="FF000000"/>
        <rFont val="Aptos Narrow"/>
        <scheme val="minor"/>
      </rPr>
      <t xml:space="preserve"> page 26</t>
    </r>
  </si>
  <si>
    <r>
      <t xml:space="preserve">Country Grid Carbon intensity: </t>
    </r>
    <r>
      <rPr>
        <sz val="11"/>
        <color rgb="FF000000"/>
        <rFont val="Aptos Narrow"/>
        <scheme val="minor"/>
      </rPr>
      <t>https://ourworldindata.org/grapher/carbon-intensity-electricity?tab=table</t>
    </r>
  </si>
  <si>
    <t>Steps for user to input the manufascturing process:</t>
  </si>
  <si>
    <t>Indonesia</t>
  </si>
  <si>
    <t>Luxembourg</t>
  </si>
  <si>
    <t>Syria</t>
  </si>
  <si>
    <t>UAE</t>
  </si>
  <si>
    <t>USA</t>
  </si>
  <si>
    <t>Steel</t>
  </si>
  <si>
    <t>Packaging types</t>
  </si>
  <si>
    <t>Plastic - EPS</t>
  </si>
  <si>
    <t>Plastic - PE</t>
  </si>
  <si>
    <t>Plastic - HDPE</t>
  </si>
  <si>
    <t>Plastic - LDPE</t>
  </si>
  <si>
    <t>Plastic - PET</t>
  </si>
  <si>
    <t>Plastic - PP</t>
  </si>
  <si>
    <t>Plastic - PVC</t>
  </si>
  <si>
    <r>
      <t xml:space="preserve">Cardboard Box </t>
    </r>
    <r>
      <rPr>
        <b/>
        <sz val="11"/>
        <color rgb="FF000000"/>
        <rFont val="Aptos Narrow"/>
        <scheme val="minor"/>
      </rPr>
      <t>(6x6x6)</t>
    </r>
  </si>
  <si>
    <r>
      <t xml:space="preserve">Cardboard Box </t>
    </r>
    <r>
      <rPr>
        <b/>
        <sz val="11"/>
        <color rgb="FF000000"/>
        <rFont val="Aptos Narrow"/>
        <scheme val="minor"/>
      </rPr>
      <t>(9x9x9)</t>
    </r>
  </si>
  <si>
    <r>
      <t xml:space="preserve">Cardboard Box </t>
    </r>
    <r>
      <rPr>
        <b/>
        <sz val="11"/>
        <color rgb="FF000000"/>
        <rFont val="Aptos Narrow"/>
        <scheme val="minor"/>
      </rPr>
      <t>(12x12x12)</t>
    </r>
  </si>
  <si>
    <r>
      <t xml:space="preserve">Cardboard Box </t>
    </r>
    <r>
      <rPr>
        <b/>
        <sz val="11"/>
        <color rgb="FF000000"/>
        <rFont val="Aptos Narrow"/>
        <scheme val="minor"/>
      </rPr>
      <t>(16x16x16)</t>
    </r>
  </si>
  <si>
    <r>
      <t xml:space="preserve">Cardboard Box </t>
    </r>
    <r>
      <rPr>
        <b/>
        <sz val="11"/>
        <color rgb="FF000000"/>
        <rFont val="Aptos Narrow"/>
        <scheme val="minor"/>
      </rPr>
      <t>(24x24x24)</t>
    </r>
  </si>
  <si>
    <t>x</t>
  </si>
  <si>
    <t>Emission (CO2e/kg)</t>
  </si>
  <si>
    <t>Base CEF (CO₂e/kg)</t>
  </si>
  <si>
    <t>Class Three (1704kg to 3500kg)</t>
  </si>
  <si>
    <t>Materials</t>
  </si>
  <si>
    <t>Aluminum</t>
  </si>
  <si>
    <t>Cement</t>
  </si>
  <si>
    <t>Plastic</t>
  </si>
  <si>
    <t>Carbon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</si>
</sst>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2060"/>
      <name val="Calibri"/>
    </font>
    <font>
      <b/>
      <sz val="11"/>
      <color rgb="FFFFFFFF"/>
      <name val="Aptos Narrow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</font>
    <font>
      <b/>
      <sz val="11"/>
      <color theme="0"/>
      <name val="Aptos Narrow"/>
      <charset val="1"/>
    </font>
    <font>
      <sz val="12"/>
      <color rgb="FF001D35"/>
      <name val="Aptos Narrow"/>
      <scheme val="minor"/>
    </font>
    <font>
      <sz val="11"/>
      <color rgb="FF002060"/>
      <name val="Aptos Display"/>
      <scheme val="maj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3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5" fillId="3" borderId="6" xfId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32" xfId="0" applyBorder="1"/>
    <xf numFmtId="0" fontId="6" fillId="0" borderId="23" xfId="0" applyFont="1" applyBorder="1" applyAlignment="1">
      <alignment horizontal="center"/>
    </xf>
    <xf numFmtId="0" fontId="6" fillId="0" borderId="9" xfId="0" applyFont="1" applyBorder="1"/>
    <xf numFmtId="0" fontId="8" fillId="0" borderId="0" xfId="0" applyFont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9" fillId="9" borderId="23" xfId="0" applyFont="1" applyFill="1" applyBorder="1"/>
    <xf numFmtId="0" fontId="9" fillId="9" borderId="39" xfId="0" applyFont="1" applyFill="1" applyBorder="1"/>
    <xf numFmtId="0" fontId="0" fillId="0" borderId="38" xfId="0" applyBorder="1"/>
    <xf numFmtId="0" fontId="0" fillId="0" borderId="34" xfId="0" applyBorder="1"/>
    <xf numFmtId="0" fontId="0" fillId="9" borderId="23" xfId="0" applyFill="1" applyBorder="1"/>
    <xf numFmtId="0" fontId="0" fillId="9" borderId="16" xfId="0" applyFill="1" applyBorder="1"/>
    <xf numFmtId="0" fontId="0" fillId="9" borderId="39" xfId="0" applyFill="1" applyBorder="1"/>
    <xf numFmtId="0" fontId="0" fillId="9" borderId="9" xfId="0" applyFill="1" applyBorder="1"/>
    <xf numFmtId="0" fontId="10" fillId="3" borderId="18" xfId="1" applyFont="1" applyBorder="1"/>
    <xf numFmtId="0" fontId="10" fillId="3" borderId="19" xfId="1" applyFont="1" applyBorder="1" applyAlignment="1">
      <alignment horizontal="center"/>
    </xf>
    <xf numFmtId="0" fontId="10" fillId="3" borderId="19" xfId="1" applyFont="1" applyBorder="1"/>
    <xf numFmtId="0" fontId="10" fillId="3" borderId="20" xfId="1" applyFont="1" applyBorder="1"/>
    <xf numFmtId="0" fontId="10" fillId="3" borderId="6" xfId="1" applyFont="1" applyBorder="1" applyAlignment="1">
      <alignment horizontal="center"/>
    </xf>
    <xf numFmtId="0" fontId="10" fillId="0" borderId="0" xfId="1" applyFont="1" applyFill="1" applyBorder="1"/>
    <xf numFmtId="0" fontId="10" fillId="0" borderId="0" xfId="1" applyFont="1" applyFill="1" applyBorder="1" applyAlignment="1">
      <alignment horizontal="center"/>
    </xf>
    <xf numFmtId="0" fontId="10" fillId="0" borderId="0" xfId="1" applyFont="1" applyFill="1" applyAlignment="1">
      <alignment horizontal="center"/>
    </xf>
    <xf numFmtId="0" fontId="10" fillId="0" borderId="0" xfId="1" applyFont="1" applyFill="1" applyAlignment="1"/>
    <xf numFmtId="0" fontId="10" fillId="0" borderId="0" xfId="1" applyFont="1" applyFill="1" applyBorder="1" applyAlignment="1"/>
    <xf numFmtId="0" fontId="8" fillId="0" borderId="0" xfId="0" applyFont="1"/>
    <xf numFmtId="0" fontId="10" fillId="0" borderId="0" xfId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0" fillId="10" borderId="0" xfId="0" applyFill="1" applyAlignment="1">
      <alignment horizontal="center"/>
    </xf>
    <xf numFmtId="0" fontId="2" fillId="0" borderId="0" xfId="0" applyFont="1"/>
    <xf numFmtId="0" fontId="11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1" applyFont="1" applyFill="1" applyBorder="1" applyAlignment="1">
      <alignment vertical="center" wrapText="1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14" fillId="0" borderId="53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4" fillId="0" borderId="0" xfId="0" applyFont="1"/>
    <xf numFmtId="0" fontId="14" fillId="0" borderId="53" xfId="0" applyFont="1" applyBorder="1"/>
    <xf numFmtId="0" fontId="14" fillId="0" borderId="0" xfId="0" applyFont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14" fillId="0" borderId="56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4" fillId="0" borderId="54" xfId="0" applyFont="1" applyBorder="1"/>
    <xf numFmtId="0" fontId="15" fillId="0" borderId="54" xfId="0" applyFont="1" applyBorder="1" applyAlignment="1">
      <alignment vertical="center" wrapText="1"/>
    </xf>
    <xf numFmtId="0" fontId="15" fillId="0" borderId="55" xfId="0" applyFont="1" applyBorder="1" applyAlignment="1">
      <alignment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53" xfId="0" applyFont="1" applyBorder="1" applyAlignment="1">
      <alignment horizontal="center" wrapText="1"/>
    </xf>
    <xf numFmtId="0" fontId="19" fillId="0" borderId="54" xfId="0" applyFont="1" applyBorder="1" applyAlignment="1">
      <alignment wrapText="1"/>
    </xf>
    <xf numFmtId="0" fontId="19" fillId="0" borderId="0" xfId="0" applyFont="1" applyAlignment="1">
      <alignment horizontal="center" wrapText="1"/>
    </xf>
    <xf numFmtId="0" fontId="16" fillId="0" borderId="53" xfId="0" applyFont="1" applyBorder="1"/>
    <xf numFmtId="0" fontId="14" fillId="0" borderId="0" xfId="0" applyFont="1" applyAlignment="1">
      <alignment vertical="center"/>
    </xf>
    <xf numFmtId="0" fontId="20" fillId="0" borderId="53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5" fillId="0" borderId="53" xfId="0" applyFont="1" applyBorder="1" applyAlignment="1">
      <alignment horizontal="center" wrapText="1"/>
    </xf>
    <xf numFmtId="0" fontId="14" fillId="0" borderId="53" xfId="0" applyFont="1" applyBorder="1" applyAlignment="1">
      <alignment wrapText="1"/>
    </xf>
    <xf numFmtId="0" fontId="16" fillId="0" borderId="53" xfId="0" applyFont="1" applyBorder="1" applyAlignment="1">
      <alignment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4" fillId="0" borderId="54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0" fontId="17" fillId="0" borderId="54" xfId="0" applyFont="1" applyBorder="1" applyAlignment="1">
      <alignment horizontal="center" vertical="center" wrapText="1"/>
    </xf>
    <xf numFmtId="0" fontId="17" fillId="0" borderId="56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0" fontId="21" fillId="0" borderId="53" xfId="0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51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40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5" fillId="3" borderId="18" xfId="1" applyFont="1" applyBorder="1" applyAlignment="1">
      <alignment horizontal="center" vertical="center" wrapText="1"/>
    </xf>
    <xf numFmtId="0" fontId="5" fillId="3" borderId="19" xfId="1" applyFont="1" applyBorder="1" applyAlignment="1">
      <alignment horizontal="center" vertical="center" wrapText="1"/>
    </xf>
    <xf numFmtId="0" fontId="5" fillId="3" borderId="20" xfId="1" applyFont="1" applyBorder="1" applyAlignment="1">
      <alignment horizontal="center" vertical="center" wrapText="1"/>
    </xf>
    <xf numFmtId="0" fontId="5" fillId="3" borderId="18" xfId="1" applyFont="1" applyBorder="1" applyAlignment="1">
      <alignment horizontal="center" vertical="center"/>
    </xf>
    <xf numFmtId="0" fontId="5" fillId="3" borderId="19" xfId="1" applyFont="1" applyBorder="1" applyAlignment="1">
      <alignment horizontal="center" vertical="center"/>
    </xf>
    <xf numFmtId="0" fontId="5" fillId="3" borderId="20" xfId="1" applyFont="1" applyBorder="1" applyAlignment="1">
      <alignment horizontal="center" vertical="center"/>
    </xf>
    <xf numFmtId="0" fontId="5" fillId="3" borderId="45" xfId="1" applyFont="1" applyBorder="1" applyAlignment="1">
      <alignment horizontal="center" vertical="center" wrapText="1"/>
    </xf>
    <xf numFmtId="0" fontId="5" fillId="3" borderId="48" xfId="1" applyFont="1" applyBorder="1" applyAlignment="1">
      <alignment horizontal="center" vertical="center" wrapText="1"/>
    </xf>
    <xf numFmtId="0" fontId="5" fillId="3" borderId="50" xfId="1" applyFont="1" applyBorder="1" applyAlignment="1">
      <alignment horizontal="center" vertical="center" wrapText="1"/>
    </xf>
    <xf numFmtId="0" fontId="14" fillId="0" borderId="0" xfId="0" applyFont="1"/>
    <xf numFmtId="0" fontId="14" fillId="0" borderId="57" xfId="0" applyFont="1" applyBorder="1"/>
    <xf numFmtId="0" fontId="18" fillId="0" borderId="0" xfId="2"/>
    <xf numFmtId="0" fontId="14" fillId="0" borderId="57" xfId="0" applyFont="1" applyBorder="1" applyAlignment="1">
      <alignment horizontal="center" vertical="center"/>
    </xf>
    <xf numFmtId="0" fontId="14" fillId="0" borderId="54" xfId="0" applyFont="1" applyBorder="1"/>
    <xf numFmtId="0" fontId="14" fillId="0" borderId="56" xfId="0" applyFont="1" applyBorder="1"/>
    <xf numFmtId="0" fontId="14" fillId="0" borderId="55" xfId="0" applyFont="1" applyBorder="1"/>
    <xf numFmtId="0" fontId="14" fillId="0" borderId="54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3" fillId="7" borderId="33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/>
    </xf>
    <xf numFmtId="0" fontId="3" fillId="8" borderId="43" xfId="0" applyFont="1" applyFill="1" applyBorder="1" applyAlignment="1">
      <alignment horizontal="center"/>
    </xf>
    <xf numFmtId="0" fontId="3" fillId="8" borderId="44" xfId="0" applyFont="1" applyFill="1" applyBorder="1" applyAlignment="1">
      <alignment horizontal="center"/>
    </xf>
    <xf numFmtId="0" fontId="5" fillId="3" borderId="33" xfId="1" applyFont="1" applyBorder="1" applyAlignment="1">
      <alignment horizontal="center"/>
    </xf>
    <xf numFmtId="0" fontId="5" fillId="3" borderId="8" xfId="1" applyFont="1" applyBorder="1" applyAlignment="1">
      <alignment horizontal="center"/>
    </xf>
    <xf numFmtId="0" fontId="5" fillId="3" borderId="7" xfId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10" fillId="3" borderId="18" xfId="1" applyFont="1" applyBorder="1" applyAlignment="1">
      <alignment horizontal="center" vertical="center"/>
    </xf>
    <xf numFmtId="0" fontId="10" fillId="3" borderId="19" xfId="1" applyFont="1" applyBorder="1" applyAlignment="1">
      <alignment horizontal="center" vertical="center"/>
    </xf>
    <xf numFmtId="0" fontId="10" fillId="3" borderId="20" xfId="1" applyFont="1" applyBorder="1" applyAlignment="1">
      <alignment horizontal="center" vertical="center"/>
    </xf>
    <xf numFmtId="0" fontId="10" fillId="3" borderId="18" xfId="1" applyFont="1" applyBorder="1" applyAlignment="1">
      <alignment horizontal="center" vertical="center" wrapText="1"/>
    </xf>
    <xf numFmtId="0" fontId="10" fillId="3" borderId="19" xfId="1" applyFont="1" applyBorder="1" applyAlignment="1">
      <alignment horizontal="center" vertical="center" wrapText="1"/>
    </xf>
    <xf numFmtId="0" fontId="10" fillId="3" borderId="20" xfId="1" applyFont="1" applyBorder="1" applyAlignment="1">
      <alignment horizontal="center" vertical="center" wrapText="1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920B-C09C-4E88-827F-04E6A256EC2A}">
  <dimension ref="A1:L86"/>
  <sheetViews>
    <sheetView workbookViewId="0">
      <pane ySplit="1" topLeftCell="A2" activePane="bottomLeft" state="frozen"/>
      <selection pane="bottomLeft" activeCell="I1" sqref="I1"/>
    </sheetView>
  </sheetViews>
  <sheetFormatPr defaultRowHeight="15" customHeight="1" x14ac:dyDescent="0.3"/>
  <cols>
    <col min="1" max="1" width="21.33203125" customWidth="1"/>
    <col min="2" max="2" width="25.33203125" bestFit="1" customWidth="1"/>
    <col min="3" max="3" width="17.33203125" customWidth="1"/>
    <col min="4" max="4" width="22.21875" customWidth="1"/>
    <col min="5" max="5" width="19.6640625" bestFit="1" customWidth="1"/>
    <col min="6" max="6" width="22.21875" bestFit="1" customWidth="1"/>
    <col min="7" max="7" width="32.88671875" bestFit="1" customWidth="1"/>
    <col min="8" max="8" width="38.33203125" bestFit="1" customWidth="1"/>
    <col min="12" max="12" width="9.88671875" customWidth="1"/>
  </cols>
  <sheetData>
    <row r="1" spans="1:12" ht="15" customHeight="1" x14ac:dyDescent="0.3">
      <c r="A1" s="1" t="s">
        <v>0</v>
      </c>
      <c r="B1" s="3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3" t="s">
        <v>6</v>
      </c>
      <c r="H1" s="93" t="s">
        <v>7</v>
      </c>
      <c r="I1" s="92"/>
      <c r="L1" s="2"/>
    </row>
    <row r="2" spans="1:12" ht="14.4" x14ac:dyDescent="0.3">
      <c r="A2" s="3" t="s">
        <v>8</v>
      </c>
      <c r="B2" s="15">
        <v>11120</v>
      </c>
      <c r="C2" s="5">
        <v>0.56999999999999995</v>
      </c>
      <c r="D2" s="40">
        <v>6.8</v>
      </c>
      <c r="E2" s="5">
        <v>0.78</v>
      </c>
      <c r="F2" s="141">
        <v>0.63</v>
      </c>
      <c r="G2" s="5">
        <v>6.5248999999999997</v>
      </c>
      <c r="H2" s="5">
        <v>34.782600000000002</v>
      </c>
    </row>
    <row r="3" spans="1:12" ht="14.4" x14ac:dyDescent="0.3">
      <c r="A3" t="s">
        <v>9</v>
      </c>
      <c r="B3" s="15">
        <v>9371</v>
      </c>
      <c r="C3" s="5">
        <v>1.63</v>
      </c>
      <c r="D3" s="5">
        <v>1.6</v>
      </c>
      <c r="E3" s="5">
        <v>0.8</v>
      </c>
      <c r="F3" s="141">
        <v>0.04</v>
      </c>
      <c r="G3" s="5">
        <v>6.5248999999999997</v>
      </c>
      <c r="H3" s="5">
        <v>34.782600000000002</v>
      </c>
    </row>
    <row r="4" spans="1:12" ht="14.4" x14ac:dyDescent="0.3">
      <c r="A4" t="s">
        <v>10</v>
      </c>
      <c r="B4" s="15">
        <v>15690</v>
      </c>
      <c r="C4" s="5">
        <v>0.92</v>
      </c>
      <c r="D4" s="5">
        <v>4.7699999999999996</v>
      </c>
      <c r="E4" s="5">
        <v>0.82</v>
      </c>
      <c r="F4" s="141">
        <v>0.33</v>
      </c>
      <c r="G4" s="5">
        <v>6.5248999999999997</v>
      </c>
      <c r="H4" s="5">
        <v>34.782600000000002</v>
      </c>
    </row>
    <row r="5" spans="1:12" ht="14.4" x14ac:dyDescent="0.3">
      <c r="A5" t="s">
        <v>11</v>
      </c>
      <c r="B5" s="15">
        <v>9836</v>
      </c>
      <c r="C5" s="5">
        <v>1.63</v>
      </c>
      <c r="D5" s="5">
        <v>6.8</v>
      </c>
      <c r="E5" s="5">
        <v>0.78</v>
      </c>
      <c r="F5" s="141">
        <v>0.11</v>
      </c>
      <c r="G5" s="5">
        <v>6.5248999999999997</v>
      </c>
      <c r="H5" s="5">
        <v>34.782600000000002</v>
      </c>
    </row>
    <row r="6" spans="1:12" ht="14.4" x14ac:dyDescent="0.3">
      <c r="A6" t="s">
        <v>12</v>
      </c>
      <c r="B6" s="15">
        <v>4374</v>
      </c>
      <c r="C6" s="5">
        <v>1.36</v>
      </c>
      <c r="D6" s="5">
        <v>12.48</v>
      </c>
      <c r="E6" s="5">
        <v>0.84</v>
      </c>
      <c r="F6" s="141">
        <v>0.55000000000000004</v>
      </c>
      <c r="G6" s="5">
        <v>6.5248999999999997</v>
      </c>
      <c r="H6" s="5">
        <v>34.782600000000002</v>
      </c>
    </row>
    <row r="7" spans="1:12" ht="14.4" x14ac:dyDescent="0.3">
      <c r="A7" t="s">
        <v>13</v>
      </c>
      <c r="B7" s="15">
        <v>7101</v>
      </c>
      <c r="C7" s="5">
        <v>0.24</v>
      </c>
      <c r="D7" s="5">
        <v>17.07</v>
      </c>
      <c r="E7" s="5">
        <v>0.82</v>
      </c>
      <c r="F7" s="141">
        <v>0.62</v>
      </c>
      <c r="G7" s="5">
        <v>6.5248999999999997</v>
      </c>
      <c r="H7" s="5">
        <v>34.782600000000002</v>
      </c>
    </row>
    <row r="8" spans="1:12" ht="14.4" x14ac:dyDescent="0.3">
      <c r="A8" t="s">
        <v>14</v>
      </c>
      <c r="B8" s="15">
        <v>2892</v>
      </c>
      <c r="C8" s="5">
        <v>0.24</v>
      </c>
      <c r="D8" s="40">
        <v>6.8</v>
      </c>
      <c r="E8" s="5">
        <v>0.83</v>
      </c>
      <c r="F8" s="141">
        <v>0.69</v>
      </c>
      <c r="G8" s="5">
        <v>6.5248999999999997</v>
      </c>
      <c r="H8" s="5">
        <v>34.782600000000002</v>
      </c>
    </row>
    <row r="9" spans="1:12" ht="14.4" x14ac:dyDescent="0.3">
      <c r="A9" t="s">
        <v>15</v>
      </c>
      <c r="B9" s="15">
        <v>8956</v>
      </c>
      <c r="C9" s="5">
        <v>0.24</v>
      </c>
      <c r="D9" s="40">
        <v>6.8</v>
      </c>
      <c r="E9" s="5">
        <v>0.84</v>
      </c>
      <c r="F9" s="141">
        <v>0.39</v>
      </c>
      <c r="G9" s="5">
        <v>6.5248999999999997</v>
      </c>
      <c r="H9" s="5">
        <v>34.782600000000002</v>
      </c>
    </row>
    <row r="10" spans="1:12" ht="14.4" x14ac:dyDescent="0.3">
      <c r="A10" t="s">
        <v>16</v>
      </c>
      <c r="B10" s="15">
        <v>10544</v>
      </c>
      <c r="C10" s="5">
        <v>1.28</v>
      </c>
      <c r="D10" s="40">
        <v>6.8</v>
      </c>
      <c r="E10" s="5">
        <v>0.87</v>
      </c>
      <c r="F10" s="141">
        <v>0.14000000000000001</v>
      </c>
      <c r="G10" s="5">
        <v>6.5248999999999997</v>
      </c>
      <c r="H10" s="5">
        <v>34.782600000000002</v>
      </c>
    </row>
    <row r="11" spans="1:12" ht="14.4" x14ac:dyDescent="0.3">
      <c r="A11" t="s">
        <v>17</v>
      </c>
      <c r="B11" s="15">
        <v>6312</v>
      </c>
      <c r="C11" s="5">
        <v>1.77</v>
      </c>
      <c r="D11" s="5">
        <v>4.0599999999999996</v>
      </c>
      <c r="E11" s="5">
        <v>0.82</v>
      </c>
      <c r="F11" s="141">
        <v>0.56999999999999995</v>
      </c>
      <c r="G11" s="5">
        <v>6.5248999999999997</v>
      </c>
      <c r="H11" s="5">
        <v>34.782600000000002</v>
      </c>
    </row>
    <row r="12" spans="1:12" ht="14.4" x14ac:dyDescent="0.3">
      <c r="A12" t="s">
        <v>18</v>
      </c>
      <c r="B12" s="15">
        <v>16978</v>
      </c>
      <c r="C12" s="5">
        <v>1.32</v>
      </c>
      <c r="D12" s="5">
        <v>4.76</v>
      </c>
      <c r="E12" s="5">
        <v>0.79</v>
      </c>
      <c r="F12" s="141">
        <v>0.08</v>
      </c>
      <c r="G12" s="5">
        <v>6.5248999999999997</v>
      </c>
      <c r="H12" s="5">
        <v>34.782600000000002</v>
      </c>
    </row>
    <row r="13" spans="1:12" ht="14.4" x14ac:dyDescent="0.3">
      <c r="A13" t="s">
        <v>19</v>
      </c>
      <c r="B13" s="15">
        <v>8949</v>
      </c>
      <c r="C13" s="5">
        <v>0.24</v>
      </c>
      <c r="D13" s="40">
        <v>6.8</v>
      </c>
      <c r="E13" s="5">
        <v>0.8</v>
      </c>
      <c r="F13" s="141">
        <v>0.34</v>
      </c>
      <c r="G13" s="5">
        <v>6.5248999999999997</v>
      </c>
      <c r="H13" s="5">
        <v>34.782600000000002</v>
      </c>
    </row>
    <row r="14" spans="1:12" ht="14.4" x14ac:dyDescent="0.3">
      <c r="A14" t="s">
        <v>20</v>
      </c>
      <c r="B14" s="15">
        <v>13060</v>
      </c>
      <c r="C14" s="5">
        <v>0.95</v>
      </c>
      <c r="D14" s="5">
        <v>3.42</v>
      </c>
      <c r="E14" s="5">
        <v>0.81</v>
      </c>
      <c r="F14" s="141">
        <v>0.12</v>
      </c>
      <c r="G14" s="5">
        <v>6.5248999999999997</v>
      </c>
      <c r="H14" s="5">
        <v>34.782600000000002</v>
      </c>
    </row>
    <row r="15" spans="1:12" ht="14.4" x14ac:dyDescent="0.3">
      <c r="A15" t="s">
        <v>21</v>
      </c>
      <c r="B15" s="15">
        <v>10143</v>
      </c>
      <c r="C15" s="5">
        <v>1.9</v>
      </c>
      <c r="D15" s="5">
        <v>12.5</v>
      </c>
      <c r="E15" s="5">
        <v>0.81</v>
      </c>
      <c r="F15" s="141">
        <v>0.44</v>
      </c>
      <c r="G15" s="5">
        <v>6.5248999999999997</v>
      </c>
      <c r="H15" s="5">
        <v>34.782600000000002</v>
      </c>
    </row>
    <row r="16" spans="1:12" ht="14.4" x14ac:dyDescent="0.3">
      <c r="A16" t="s">
        <v>22</v>
      </c>
      <c r="B16" s="15">
        <v>16158</v>
      </c>
      <c r="C16" s="5">
        <v>1.34</v>
      </c>
      <c r="D16" s="40">
        <v>6.8</v>
      </c>
      <c r="E16" s="5">
        <v>0.82</v>
      </c>
      <c r="F16" s="141">
        <v>0.28999999999999998</v>
      </c>
      <c r="G16" s="5">
        <v>6.5248999999999997</v>
      </c>
      <c r="H16" s="5">
        <v>34.782600000000002</v>
      </c>
    </row>
    <row r="17" spans="1:8" ht="14.4" x14ac:dyDescent="0.3">
      <c r="A17" t="s">
        <v>23</v>
      </c>
      <c r="B17" s="15">
        <v>4479</v>
      </c>
      <c r="C17" s="5">
        <v>1.5</v>
      </c>
      <c r="D17" s="5">
        <v>13.95</v>
      </c>
      <c r="E17" s="5">
        <v>0.83</v>
      </c>
      <c r="F17" s="141">
        <v>0.69</v>
      </c>
      <c r="G17" s="5">
        <v>6.5248999999999997</v>
      </c>
      <c r="H17" s="5">
        <v>34.782600000000002</v>
      </c>
    </row>
    <row r="18" spans="1:8" ht="14.4" x14ac:dyDescent="0.3">
      <c r="A18" t="s">
        <v>24</v>
      </c>
      <c r="B18" s="15">
        <v>9768</v>
      </c>
      <c r="C18" s="5">
        <v>1.62</v>
      </c>
      <c r="D18" s="40">
        <v>6.8</v>
      </c>
      <c r="E18" s="5">
        <v>0.78</v>
      </c>
      <c r="F18" s="141">
        <v>0.42</v>
      </c>
      <c r="G18" s="5">
        <v>6.5248999999999997</v>
      </c>
      <c r="H18" s="5">
        <v>34.782600000000002</v>
      </c>
    </row>
    <row r="19" spans="1:8" ht="14.4" x14ac:dyDescent="0.3">
      <c r="A19" t="s">
        <v>25</v>
      </c>
      <c r="B19" s="15">
        <v>19774</v>
      </c>
      <c r="C19" s="5">
        <v>0.28000000000000003</v>
      </c>
      <c r="D19" s="40">
        <v>6.8</v>
      </c>
      <c r="E19" s="5">
        <v>0.85</v>
      </c>
      <c r="F19" s="141">
        <v>0.23</v>
      </c>
      <c r="G19" s="5">
        <v>6.5248999999999997</v>
      </c>
      <c r="H19" s="5">
        <v>34.782600000000002</v>
      </c>
    </row>
    <row r="20" spans="1:8" ht="14.4" x14ac:dyDescent="0.3">
      <c r="A20" t="s">
        <v>26</v>
      </c>
      <c r="B20" s="15">
        <v>8252</v>
      </c>
      <c r="C20" s="40">
        <v>1.85</v>
      </c>
      <c r="D20" s="5">
        <v>3.88</v>
      </c>
      <c r="E20" s="5">
        <v>0.84</v>
      </c>
      <c r="F20" s="141">
        <v>0.47</v>
      </c>
      <c r="G20" s="5">
        <v>6.5248999999999997</v>
      </c>
      <c r="H20" s="5">
        <v>34.782600000000002</v>
      </c>
    </row>
    <row r="21" spans="1:8" ht="14.4" x14ac:dyDescent="0.3">
      <c r="A21" t="s">
        <v>27</v>
      </c>
      <c r="B21" s="15">
        <v>9248</v>
      </c>
      <c r="C21" s="5">
        <v>1.04</v>
      </c>
      <c r="D21" s="40">
        <v>6.8</v>
      </c>
      <c r="E21" s="5">
        <v>0.8</v>
      </c>
      <c r="F21" s="141">
        <v>0.03</v>
      </c>
      <c r="G21" s="5">
        <v>6.5248999999999997</v>
      </c>
      <c r="H21" s="5">
        <v>34.782600000000002</v>
      </c>
    </row>
    <row r="22" spans="1:8" ht="14.4" x14ac:dyDescent="0.3">
      <c r="A22" t="s">
        <v>28</v>
      </c>
      <c r="B22" s="15">
        <v>10781</v>
      </c>
      <c r="C22" s="5">
        <v>1.3</v>
      </c>
      <c r="D22" s="5">
        <v>3.85</v>
      </c>
      <c r="E22" s="5">
        <v>0.81</v>
      </c>
      <c r="F22" s="141">
        <v>0.05</v>
      </c>
      <c r="G22" s="5">
        <v>6.5248999999999997</v>
      </c>
      <c r="H22" s="5">
        <v>34.782600000000002</v>
      </c>
    </row>
    <row r="23" spans="1:8" ht="14.4" x14ac:dyDescent="0.3">
      <c r="A23" t="s">
        <v>29</v>
      </c>
      <c r="B23" s="15">
        <v>9910</v>
      </c>
      <c r="C23" s="5">
        <v>1.21</v>
      </c>
      <c r="D23" s="5">
        <v>3.94</v>
      </c>
      <c r="E23" s="5">
        <v>0.78</v>
      </c>
      <c r="F23" s="141">
        <v>0.42</v>
      </c>
      <c r="G23" s="5">
        <v>6.5248999999999997</v>
      </c>
      <c r="H23" s="5">
        <v>34.782600000000002</v>
      </c>
    </row>
    <row r="24" spans="1:8" ht="14.4" x14ac:dyDescent="0.3">
      <c r="A24" t="s">
        <v>30</v>
      </c>
      <c r="B24" s="15">
        <v>11613</v>
      </c>
      <c r="C24" s="40">
        <v>1.85</v>
      </c>
      <c r="D24" s="5">
        <v>12.53</v>
      </c>
      <c r="E24" s="5">
        <v>0.81</v>
      </c>
      <c r="F24" s="141">
        <v>0.48</v>
      </c>
      <c r="G24" s="5">
        <v>6.5248999999999997</v>
      </c>
      <c r="H24" s="5">
        <v>34.782600000000002</v>
      </c>
    </row>
    <row r="25" spans="1:8" ht="14.4" x14ac:dyDescent="0.3">
      <c r="A25" t="s">
        <v>31</v>
      </c>
      <c r="B25" s="15">
        <v>17552</v>
      </c>
      <c r="C25" s="5">
        <v>0.24</v>
      </c>
      <c r="D25" s="40">
        <v>6.8</v>
      </c>
      <c r="E25" s="5">
        <v>0.85</v>
      </c>
      <c r="F25" s="141">
        <v>0.31</v>
      </c>
      <c r="G25" s="5">
        <v>6.5248999999999997</v>
      </c>
      <c r="H25" s="5">
        <v>34.782600000000002</v>
      </c>
    </row>
    <row r="26" spans="1:8" ht="14.4" x14ac:dyDescent="0.3">
      <c r="A26" t="s">
        <v>32</v>
      </c>
      <c r="B26" s="15">
        <v>9216</v>
      </c>
      <c r="C26" s="5">
        <v>0.24</v>
      </c>
      <c r="D26" s="5">
        <v>3.97</v>
      </c>
      <c r="E26" s="5">
        <v>0.8</v>
      </c>
      <c r="F26" s="141">
        <v>0.44</v>
      </c>
      <c r="G26" s="5">
        <v>6.5248999999999997</v>
      </c>
      <c r="H26" s="5">
        <v>34.782600000000002</v>
      </c>
    </row>
    <row r="27" spans="1:8" ht="14.4" x14ac:dyDescent="0.3">
      <c r="A27" t="s">
        <v>33</v>
      </c>
      <c r="B27" s="15">
        <v>9462</v>
      </c>
      <c r="C27" s="5">
        <v>1.55</v>
      </c>
      <c r="D27" s="40">
        <v>6.8</v>
      </c>
      <c r="E27" s="5">
        <v>0.8</v>
      </c>
      <c r="F27" s="141">
        <v>0.39</v>
      </c>
      <c r="G27" s="5">
        <v>6.5248999999999997</v>
      </c>
      <c r="H27" s="5">
        <v>34.782600000000002</v>
      </c>
    </row>
    <row r="28" spans="1:8" ht="14.4" x14ac:dyDescent="0.3">
      <c r="A28" t="s">
        <v>34</v>
      </c>
      <c r="B28" s="15">
        <v>11336</v>
      </c>
      <c r="C28" s="40">
        <v>1.85</v>
      </c>
      <c r="D28" s="5">
        <v>2.25</v>
      </c>
      <c r="E28" s="40">
        <v>0.8</v>
      </c>
      <c r="F28" s="141">
        <v>0.01</v>
      </c>
      <c r="G28" s="5">
        <v>6.5248999999999997</v>
      </c>
      <c r="H28" s="5">
        <v>34.782600000000002</v>
      </c>
    </row>
    <row r="29" spans="1:8" ht="14.4" x14ac:dyDescent="0.3">
      <c r="A29" t="s">
        <v>35</v>
      </c>
      <c r="B29" s="15">
        <v>7176</v>
      </c>
      <c r="C29" s="40">
        <v>1.9</v>
      </c>
      <c r="D29" s="40">
        <v>6.8</v>
      </c>
      <c r="E29" s="5">
        <v>0.85</v>
      </c>
      <c r="F29" s="141">
        <v>0.63</v>
      </c>
      <c r="G29" s="5">
        <v>6.5248999999999997</v>
      </c>
      <c r="H29" s="5">
        <v>34.782600000000002</v>
      </c>
    </row>
    <row r="30" spans="1:8" ht="14.4" x14ac:dyDescent="0.3">
      <c r="A30" t="s">
        <v>36</v>
      </c>
      <c r="B30" s="15">
        <v>3530</v>
      </c>
      <c r="C30" s="5">
        <v>2.0299999999999998</v>
      </c>
      <c r="D30" s="5">
        <v>17.11</v>
      </c>
      <c r="E30" s="5">
        <v>0.86</v>
      </c>
      <c r="F30" s="141">
        <v>0.71</v>
      </c>
      <c r="G30" s="5">
        <v>6.5248999999999997</v>
      </c>
      <c r="H30" s="5">
        <v>34.782600000000002</v>
      </c>
    </row>
    <row r="31" spans="1:8" ht="14.4" x14ac:dyDescent="0.3">
      <c r="A31" t="s">
        <v>37</v>
      </c>
      <c r="B31" s="15">
        <v>6266</v>
      </c>
      <c r="C31" s="5">
        <v>0.36</v>
      </c>
      <c r="D31" s="5">
        <v>4.0599999999999996</v>
      </c>
      <c r="E31" s="5">
        <v>0.82</v>
      </c>
      <c r="F31" s="141">
        <v>0.61</v>
      </c>
      <c r="G31" s="5">
        <v>6.5248999999999997</v>
      </c>
      <c r="H31" s="5">
        <v>34.782600000000002</v>
      </c>
    </row>
    <row r="32" spans="1:8" ht="14.4" x14ac:dyDescent="0.3">
      <c r="A32" t="s">
        <v>38</v>
      </c>
      <c r="B32" s="5">
        <v>908</v>
      </c>
      <c r="C32" s="5">
        <v>1.29</v>
      </c>
      <c r="D32" s="5">
        <v>17.11</v>
      </c>
      <c r="E32" s="5">
        <v>0.83</v>
      </c>
      <c r="F32" s="141">
        <v>0.64</v>
      </c>
      <c r="G32" s="5">
        <v>6.5248999999999997</v>
      </c>
      <c r="H32" s="5">
        <v>34.782600000000002</v>
      </c>
    </row>
    <row r="33" spans="1:8" ht="14.4" x14ac:dyDescent="0.3">
      <c r="A33" t="s">
        <v>39</v>
      </c>
      <c r="B33" s="15">
        <v>11243</v>
      </c>
      <c r="C33" s="40">
        <v>1.9</v>
      </c>
      <c r="D33" s="40">
        <v>6.8</v>
      </c>
      <c r="E33" s="5">
        <v>0.8</v>
      </c>
      <c r="F33" s="141">
        <v>0.3</v>
      </c>
      <c r="G33" s="5">
        <v>6.5248999999999997</v>
      </c>
      <c r="H33" s="5">
        <v>34.782600000000002</v>
      </c>
    </row>
    <row r="34" spans="1:8" ht="14.4" x14ac:dyDescent="0.3">
      <c r="A34" t="s">
        <v>40</v>
      </c>
      <c r="B34" s="15">
        <v>7930</v>
      </c>
      <c r="C34" s="40">
        <v>1.9</v>
      </c>
      <c r="D34" s="40">
        <v>6.8</v>
      </c>
      <c r="E34" s="5">
        <v>0.82</v>
      </c>
      <c r="F34" s="141">
        <v>0.46</v>
      </c>
      <c r="G34" s="5">
        <v>6.5248999999999997</v>
      </c>
      <c r="H34" s="5">
        <v>34.782600000000002</v>
      </c>
    </row>
    <row r="35" spans="1:8" ht="14.4" x14ac:dyDescent="0.3">
      <c r="A35" t="s">
        <v>41</v>
      </c>
      <c r="B35" s="15">
        <v>10005</v>
      </c>
      <c r="C35" s="5">
        <v>0.5</v>
      </c>
      <c r="D35" s="40">
        <v>6.8</v>
      </c>
      <c r="E35" s="5">
        <v>0.83</v>
      </c>
      <c r="F35" s="141">
        <v>0.25</v>
      </c>
      <c r="G35" s="5">
        <v>6.5248999999999997</v>
      </c>
      <c r="H35" s="5">
        <v>34.782600000000002</v>
      </c>
    </row>
    <row r="36" spans="1:8" ht="14.4" x14ac:dyDescent="0.3">
      <c r="A36" t="s">
        <v>42</v>
      </c>
      <c r="B36" s="15">
        <v>5246</v>
      </c>
      <c r="C36" s="5">
        <v>1.5</v>
      </c>
      <c r="D36" s="5">
        <v>0.75900000000000001</v>
      </c>
      <c r="E36" s="5">
        <v>0.83</v>
      </c>
      <c r="F36" s="141">
        <v>0.39</v>
      </c>
      <c r="G36" s="5">
        <v>6.5248999999999997</v>
      </c>
      <c r="H36" s="5">
        <v>34.782600000000002</v>
      </c>
    </row>
    <row r="37" spans="1:8" ht="14.4" x14ac:dyDescent="0.3">
      <c r="A37" t="s">
        <v>43</v>
      </c>
      <c r="B37" s="15">
        <v>6706</v>
      </c>
      <c r="C37" s="5">
        <v>0.24</v>
      </c>
      <c r="D37" s="40">
        <v>6.8</v>
      </c>
      <c r="E37" s="5">
        <v>0.82</v>
      </c>
      <c r="F37" s="141">
        <v>0.67</v>
      </c>
      <c r="G37" s="5">
        <v>6.5248999999999997</v>
      </c>
      <c r="H37" s="5">
        <v>34.782600000000002</v>
      </c>
    </row>
    <row r="38" spans="1:8" ht="14.4" x14ac:dyDescent="0.3">
      <c r="A38" t="s">
        <v>44</v>
      </c>
      <c r="B38" s="15">
        <v>6276</v>
      </c>
      <c r="C38" s="5">
        <v>1.63</v>
      </c>
      <c r="D38" s="5">
        <v>17.12</v>
      </c>
      <c r="E38" s="5">
        <v>0.85</v>
      </c>
      <c r="F38" s="141">
        <v>0.71</v>
      </c>
      <c r="G38" s="5">
        <v>6.5248999999999997</v>
      </c>
      <c r="H38" s="5">
        <v>34.782600000000002</v>
      </c>
    </row>
    <row r="39" spans="1:8" ht="14.4" x14ac:dyDescent="0.3">
      <c r="A39" t="s">
        <v>45</v>
      </c>
      <c r="B39" s="15">
        <v>10436</v>
      </c>
      <c r="C39" s="5">
        <v>0.24</v>
      </c>
      <c r="D39" s="40">
        <v>6.8</v>
      </c>
      <c r="E39" s="5">
        <v>0.8</v>
      </c>
      <c r="F39" s="141">
        <v>0.12</v>
      </c>
      <c r="G39" s="5">
        <v>6.5248999999999997</v>
      </c>
      <c r="H39" s="5">
        <v>34.782600000000002</v>
      </c>
    </row>
    <row r="40" spans="1:8" ht="14.4" x14ac:dyDescent="0.3">
      <c r="A40" t="s">
        <v>46</v>
      </c>
      <c r="B40" s="15">
        <v>9241</v>
      </c>
      <c r="C40" s="40">
        <v>1.85</v>
      </c>
      <c r="D40" s="40">
        <v>6.8</v>
      </c>
      <c r="E40" s="5">
        <v>0.8</v>
      </c>
      <c r="F40" s="141">
        <v>0.28000000000000003</v>
      </c>
      <c r="G40" s="5">
        <v>6.5248999999999997</v>
      </c>
      <c r="H40" s="5">
        <v>34.782600000000002</v>
      </c>
    </row>
    <row r="41" spans="1:8" ht="14.4" x14ac:dyDescent="0.3">
      <c r="A41" t="s">
        <v>47</v>
      </c>
      <c r="B41" s="15">
        <v>9595</v>
      </c>
      <c r="C41" s="5">
        <v>0.24</v>
      </c>
      <c r="D41" s="40">
        <v>6.8</v>
      </c>
      <c r="E41" s="5">
        <v>0.81</v>
      </c>
      <c r="F41" s="141">
        <v>0.72</v>
      </c>
      <c r="G41" s="5">
        <v>6.5248999999999997</v>
      </c>
      <c r="H41" s="5">
        <v>34.782600000000002</v>
      </c>
    </row>
    <row r="42" spans="1:8" ht="14.4" x14ac:dyDescent="0.3">
      <c r="A42" t="s">
        <v>48</v>
      </c>
      <c r="B42" s="5">
        <v>297</v>
      </c>
      <c r="C42" s="5">
        <v>0.71</v>
      </c>
      <c r="D42" s="5">
        <v>17.07</v>
      </c>
      <c r="E42" s="5">
        <v>0.83</v>
      </c>
      <c r="F42" s="141">
        <v>0.64</v>
      </c>
      <c r="G42" s="5">
        <v>6.5248999999999997</v>
      </c>
      <c r="H42" s="5">
        <v>34.782600000000002</v>
      </c>
    </row>
    <row r="43" spans="1:8" ht="14.4" x14ac:dyDescent="0.3">
      <c r="A43" t="s">
        <v>49</v>
      </c>
      <c r="B43" s="15">
        <v>16024</v>
      </c>
      <c r="C43" s="5">
        <v>0.68</v>
      </c>
      <c r="D43" s="40">
        <v>6.8</v>
      </c>
      <c r="E43" s="5">
        <v>0.84</v>
      </c>
      <c r="F43" s="141">
        <v>0.45</v>
      </c>
      <c r="G43" s="5">
        <v>6.5248999999999997</v>
      </c>
      <c r="H43" s="5">
        <v>34.782600000000002</v>
      </c>
    </row>
    <row r="44" spans="1:8" ht="14.4" x14ac:dyDescent="0.3">
      <c r="A44" t="s">
        <v>50</v>
      </c>
      <c r="B44" s="15">
        <v>11880</v>
      </c>
      <c r="C44" s="5">
        <v>0.24</v>
      </c>
      <c r="D44" s="40">
        <v>6.8</v>
      </c>
      <c r="E44" s="5">
        <v>0.78</v>
      </c>
      <c r="F44" s="141">
        <v>0.55000000000000004</v>
      </c>
      <c r="G44" s="5">
        <v>6.5248999999999997</v>
      </c>
      <c r="H44" s="5">
        <v>34.782600000000002</v>
      </c>
    </row>
    <row r="45" spans="1:8" ht="14.4" x14ac:dyDescent="0.3">
      <c r="A45" t="s">
        <v>51</v>
      </c>
      <c r="B45" s="15">
        <v>7773</v>
      </c>
      <c r="C45" s="40">
        <v>1.85</v>
      </c>
      <c r="D45" s="5">
        <v>12.45</v>
      </c>
      <c r="E45" s="40">
        <v>0.85</v>
      </c>
      <c r="F45" s="141">
        <v>0.08</v>
      </c>
      <c r="G45" s="5">
        <v>6.5248999999999997</v>
      </c>
      <c r="H45" s="5">
        <v>34.782600000000002</v>
      </c>
    </row>
    <row r="46" spans="1:8" ht="14.4" x14ac:dyDescent="0.3">
      <c r="A46" t="s">
        <v>52</v>
      </c>
      <c r="B46" s="15">
        <v>2740</v>
      </c>
      <c r="C46" s="40">
        <v>1.85</v>
      </c>
      <c r="D46" s="40" t="s">
        <v>53</v>
      </c>
      <c r="E46" s="5">
        <v>0.85</v>
      </c>
      <c r="F46" s="141">
        <v>0.54</v>
      </c>
      <c r="G46" s="5">
        <v>6.5248999999999997</v>
      </c>
      <c r="H46" s="5">
        <v>34.782600000000002</v>
      </c>
    </row>
    <row r="47" spans="1:8" ht="14.4" x14ac:dyDescent="0.3">
      <c r="A47" t="s">
        <v>54</v>
      </c>
      <c r="B47" s="15">
        <v>8801</v>
      </c>
      <c r="C47" s="5">
        <v>0.24</v>
      </c>
      <c r="D47" s="40">
        <v>6.8</v>
      </c>
      <c r="E47" s="5">
        <v>0.82</v>
      </c>
      <c r="F47" s="141">
        <v>0.4</v>
      </c>
      <c r="G47" s="5">
        <v>6.5248999999999997</v>
      </c>
      <c r="H47" s="5">
        <v>34.782600000000002</v>
      </c>
    </row>
    <row r="48" spans="1:8" ht="14.4" x14ac:dyDescent="0.3">
      <c r="A48" t="s">
        <v>55</v>
      </c>
      <c r="B48" s="15">
        <v>10463</v>
      </c>
      <c r="C48" s="5">
        <v>1.63</v>
      </c>
      <c r="D48" s="40">
        <v>6.8</v>
      </c>
      <c r="E48" s="91">
        <v>0.9</v>
      </c>
      <c r="F48" s="141">
        <v>0.11</v>
      </c>
      <c r="G48" s="5">
        <v>6.5248999999999997</v>
      </c>
      <c r="H48" s="5">
        <v>34.782600000000002</v>
      </c>
    </row>
    <row r="49" spans="1:8" ht="14.4" x14ac:dyDescent="0.3">
      <c r="A49" t="s">
        <v>56</v>
      </c>
      <c r="B49" s="15">
        <v>8525</v>
      </c>
      <c r="C49" s="5">
        <v>0.24</v>
      </c>
      <c r="D49" s="5">
        <v>12.48</v>
      </c>
      <c r="E49" s="5">
        <v>0.83</v>
      </c>
      <c r="F49" s="141">
        <v>0.03</v>
      </c>
      <c r="G49" s="5">
        <v>6.5248999999999997</v>
      </c>
      <c r="H49" s="5">
        <v>34.782600000000002</v>
      </c>
    </row>
    <row r="50" spans="1:8" ht="14.4" x14ac:dyDescent="0.3">
      <c r="A50" t="s">
        <v>57</v>
      </c>
      <c r="B50" s="15">
        <v>10542</v>
      </c>
      <c r="C50" s="5">
        <v>0.74</v>
      </c>
      <c r="D50" s="40" t="s">
        <v>53</v>
      </c>
      <c r="E50" s="91">
        <v>4.1000000000000002E-2</v>
      </c>
      <c r="F50" s="141">
        <v>0.51</v>
      </c>
      <c r="G50" s="5">
        <v>6.5248999999999997</v>
      </c>
      <c r="H50" s="5">
        <v>34.782600000000002</v>
      </c>
    </row>
    <row r="51" spans="1:8" ht="14.4" x14ac:dyDescent="0.3">
      <c r="A51" t="s">
        <v>58</v>
      </c>
      <c r="B51" s="15">
        <v>3661</v>
      </c>
      <c r="C51" s="40">
        <v>1.85</v>
      </c>
      <c r="D51" s="40">
        <v>6.8</v>
      </c>
      <c r="E51" s="5">
        <v>0.83</v>
      </c>
      <c r="F51" s="141">
        <v>0.06</v>
      </c>
      <c r="G51" s="5">
        <v>6.5248999999999997</v>
      </c>
      <c r="H51" s="5">
        <v>34.782600000000002</v>
      </c>
    </row>
    <row r="52" spans="1:8" ht="14.4" x14ac:dyDescent="0.3">
      <c r="A52" t="s">
        <v>59</v>
      </c>
      <c r="B52" s="15">
        <v>10163</v>
      </c>
      <c r="C52" s="5">
        <v>0.24</v>
      </c>
      <c r="D52" s="5">
        <v>3.96</v>
      </c>
      <c r="E52" s="5">
        <v>0.8</v>
      </c>
      <c r="F52" s="141">
        <v>0.02</v>
      </c>
      <c r="G52" s="5">
        <v>6.5248999999999997</v>
      </c>
      <c r="H52" s="5">
        <v>34.782600000000002</v>
      </c>
    </row>
    <row r="53" spans="1:8" ht="14.4" x14ac:dyDescent="0.3">
      <c r="A53" t="s">
        <v>60</v>
      </c>
      <c r="B53" s="15">
        <v>5637</v>
      </c>
      <c r="C53" s="5">
        <v>0.24</v>
      </c>
      <c r="D53" s="5">
        <v>4.0599999999999996</v>
      </c>
      <c r="E53" s="5">
        <v>0.82</v>
      </c>
      <c r="F53" s="141">
        <v>0.65</v>
      </c>
      <c r="G53" s="5">
        <v>6.5248999999999997</v>
      </c>
      <c r="H53" s="5">
        <v>34.782600000000002</v>
      </c>
    </row>
    <row r="54" spans="1:8" ht="14.4" x14ac:dyDescent="0.3">
      <c r="A54" t="s">
        <v>61</v>
      </c>
      <c r="B54" s="15">
        <v>4856</v>
      </c>
      <c r="C54" s="5">
        <v>0.24</v>
      </c>
      <c r="D54" s="5">
        <v>17.5</v>
      </c>
      <c r="E54" s="5">
        <v>0.83</v>
      </c>
      <c r="F54" s="141">
        <v>0.51</v>
      </c>
      <c r="G54" s="5">
        <v>6.5248999999999997</v>
      </c>
      <c r="H54" s="5">
        <v>34.782600000000002</v>
      </c>
    </row>
    <row r="55" spans="1:8" ht="14.4" x14ac:dyDescent="0.3">
      <c r="A55" t="s">
        <v>62</v>
      </c>
      <c r="B55" s="15">
        <v>2355</v>
      </c>
      <c r="C55" s="5">
        <v>0.24</v>
      </c>
      <c r="D55" s="5">
        <v>15</v>
      </c>
      <c r="E55" s="5">
        <v>0.85</v>
      </c>
      <c r="F55" s="141">
        <v>0.52</v>
      </c>
      <c r="G55" s="5">
        <v>6.5248999999999997</v>
      </c>
      <c r="H55" s="5">
        <v>34.782600000000002</v>
      </c>
    </row>
    <row r="56" spans="1:8" ht="14.4" x14ac:dyDescent="0.3">
      <c r="A56" t="s">
        <v>63</v>
      </c>
      <c r="B56" s="15">
        <v>11775</v>
      </c>
      <c r="C56" s="5"/>
      <c r="D56" s="5">
        <v>8.5</v>
      </c>
      <c r="E56" s="5">
        <v>0.8</v>
      </c>
      <c r="F56" s="141">
        <v>0.28999999999999998</v>
      </c>
      <c r="G56" s="5">
        <v>6.5248999999999997</v>
      </c>
      <c r="H56" s="5">
        <v>34.782600000000002</v>
      </c>
    </row>
    <row r="57" spans="1:8" ht="14.4" x14ac:dyDescent="0.3">
      <c r="A57" t="s">
        <v>64</v>
      </c>
      <c r="B57" s="15">
        <v>19122</v>
      </c>
      <c r="C57" s="5">
        <v>0.76</v>
      </c>
      <c r="D57" s="5">
        <v>14.5</v>
      </c>
      <c r="E57" s="5">
        <v>0.81</v>
      </c>
      <c r="F57" s="141">
        <v>0.26</v>
      </c>
      <c r="G57" s="5">
        <v>6.5248999999999997</v>
      </c>
      <c r="H57" s="5">
        <v>34.782600000000002</v>
      </c>
    </row>
    <row r="58" spans="1:8" ht="14.4" x14ac:dyDescent="0.3">
      <c r="A58" t="s">
        <v>65</v>
      </c>
      <c r="B58" s="15">
        <v>9518</v>
      </c>
      <c r="C58" s="5">
        <v>1.26</v>
      </c>
      <c r="D58" s="5">
        <v>18</v>
      </c>
      <c r="E58" s="5">
        <v>0.78</v>
      </c>
      <c r="F58" s="141">
        <v>0.7</v>
      </c>
      <c r="G58" s="5">
        <v>6.5248999999999997</v>
      </c>
      <c r="H58" s="5">
        <v>34.782600000000002</v>
      </c>
    </row>
    <row r="59" spans="1:8" ht="14.4" x14ac:dyDescent="0.3">
      <c r="A59" t="s">
        <v>66</v>
      </c>
      <c r="B59" s="15">
        <v>6229</v>
      </c>
      <c r="C59" s="5">
        <v>0.24</v>
      </c>
      <c r="D59" s="5">
        <v>14</v>
      </c>
      <c r="E59" s="5">
        <v>0.82</v>
      </c>
      <c r="F59" s="141">
        <v>0.6</v>
      </c>
      <c r="G59" s="5">
        <v>6.5248999999999997</v>
      </c>
      <c r="H59" s="5">
        <v>34.782600000000002</v>
      </c>
    </row>
    <row r="60" spans="1:8" ht="14.4" x14ac:dyDescent="0.3">
      <c r="A60" t="s">
        <v>67</v>
      </c>
      <c r="B60" s="15">
        <v>9034</v>
      </c>
      <c r="C60" s="5">
        <v>1.1499999999999999</v>
      </c>
      <c r="D60" s="5">
        <v>3.93</v>
      </c>
      <c r="E60" s="5">
        <v>0.8</v>
      </c>
      <c r="F60" s="141">
        <v>0.33</v>
      </c>
      <c r="G60" s="5">
        <v>6.5248999999999997</v>
      </c>
      <c r="H60" s="5">
        <v>34.782600000000002</v>
      </c>
    </row>
    <row r="61" spans="1:8" ht="14.4" x14ac:dyDescent="0.3">
      <c r="A61" t="s">
        <v>68</v>
      </c>
      <c r="B61" s="15">
        <v>6688</v>
      </c>
      <c r="C61" s="5">
        <v>1.0900000000000001</v>
      </c>
      <c r="D61" s="5">
        <v>3.96</v>
      </c>
      <c r="E61" s="5">
        <v>0.91</v>
      </c>
      <c r="F61" s="141">
        <v>0.34</v>
      </c>
      <c r="G61" s="5">
        <v>6.5248999999999997</v>
      </c>
      <c r="H61" s="5">
        <v>34.782600000000002</v>
      </c>
    </row>
    <row r="62" spans="1:8" ht="14.4" x14ac:dyDescent="0.3">
      <c r="A62" t="s">
        <v>69</v>
      </c>
      <c r="B62" s="15">
        <v>6785</v>
      </c>
      <c r="C62" s="5">
        <v>0.35</v>
      </c>
      <c r="D62" s="5">
        <v>4.0999999999999996</v>
      </c>
      <c r="E62" s="5">
        <v>0.82</v>
      </c>
      <c r="F62" s="141">
        <v>0.62</v>
      </c>
      <c r="G62" s="5">
        <v>6.5248999999999997</v>
      </c>
      <c r="H62" s="5">
        <v>34.782600000000002</v>
      </c>
    </row>
    <row r="63" spans="1:8" ht="14.4" x14ac:dyDescent="0.3">
      <c r="A63" t="s">
        <v>70</v>
      </c>
      <c r="B63" s="15">
        <v>9323</v>
      </c>
      <c r="C63" s="5">
        <v>1.53</v>
      </c>
      <c r="D63" s="5">
        <v>16</v>
      </c>
      <c r="E63" s="5">
        <v>0.8</v>
      </c>
      <c r="F63" s="141">
        <v>0.39</v>
      </c>
      <c r="G63" s="5">
        <v>6.5248999999999997</v>
      </c>
      <c r="H63" s="5">
        <v>34.782600000000002</v>
      </c>
    </row>
    <row r="64" spans="1:8" ht="14.4" x14ac:dyDescent="0.3">
      <c r="A64" t="s">
        <v>71</v>
      </c>
      <c r="B64" s="5">
        <v>0</v>
      </c>
      <c r="C64" s="5">
        <v>0.24</v>
      </c>
      <c r="D64" s="5">
        <v>13</v>
      </c>
      <c r="E64" s="91">
        <v>0.6</v>
      </c>
      <c r="F64" s="141">
        <v>0.42</v>
      </c>
      <c r="G64" s="5">
        <v>6.5248999999999997</v>
      </c>
      <c r="H64" s="5">
        <v>34.782600000000002</v>
      </c>
    </row>
    <row r="65" spans="1:8" ht="14.4" x14ac:dyDescent="0.3">
      <c r="A65" t="s">
        <v>72</v>
      </c>
      <c r="B65" s="15">
        <v>9457</v>
      </c>
      <c r="C65" s="5">
        <v>1.63</v>
      </c>
      <c r="D65" s="5">
        <v>3.96</v>
      </c>
      <c r="E65" s="5">
        <v>0.8</v>
      </c>
      <c r="F65" s="141">
        <v>0.2</v>
      </c>
      <c r="G65" s="5">
        <v>6.5248999999999997</v>
      </c>
      <c r="H65" s="5">
        <v>34.782600000000002</v>
      </c>
    </row>
    <row r="66" spans="1:8" ht="14.4" x14ac:dyDescent="0.3">
      <c r="A66" t="s">
        <v>73</v>
      </c>
      <c r="B66" s="15">
        <v>2656</v>
      </c>
      <c r="C66" s="40">
        <v>1.85</v>
      </c>
      <c r="D66" s="40">
        <v>6.8</v>
      </c>
      <c r="E66" s="5">
        <v>0.83</v>
      </c>
      <c r="F66" s="141">
        <v>0.47</v>
      </c>
      <c r="G66" s="5">
        <v>6.5248999999999997</v>
      </c>
      <c r="H66" s="5">
        <v>34.782600000000002</v>
      </c>
    </row>
    <row r="67" spans="1:8" ht="14.4" x14ac:dyDescent="0.3">
      <c r="A67" t="s">
        <v>74</v>
      </c>
      <c r="B67" s="15">
        <v>4564</v>
      </c>
      <c r="C67" s="5">
        <v>1.34</v>
      </c>
      <c r="D67" s="5">
        <v>0.83</v>
      </c>
      <c r="E67" s="91">
        <v>0.6</v>
      </c>
      <c r="F67" s="141">
        <v>0.5</v>
      </c>
      <c r="G67" s="5">
        <v>6.5248999999999997</v>
      </c>
      <c r="H67" s="5">
        <v>34.782600000000002</v>
      </c>
    </row>
    <row r="68" spans="1:8" ht="14.4" x14ac:dyDescent="0.3">
      <c r="A68" t="s">
        <v>75</v>
      </c>
      <c r="B68" s="15">
        <v>9802</v>
      </c>
      <c r="C68" s="5">
        <v>0.24</v>
      </c>
      <c r="D68" s="5">
        <v>3.96</v>
      </c>
      <c r="E68" s="5">
        <v>0.8</v>
      </c>
      <c r="F68" s="141">
        <v>0.25</v>
      </c>
      <c r="G68" s="5">
        <v>6.5248999999999997</v>
      </c>
      <c r="H68" s="5">
        <v>34.782600000000002</v>
      </c>
    </row>
    <row r="69" spans="1:8" ht="14.4" x14ac:dyDescent="0.3">
      <c r="A69" t="s">
        <v>76</v>
      </c>
      <c r="B69" s="15">
        <v>7638</v>
      </c>
      <c r="C69" s="5">
        <v>0.75</v>
      </c>
      <c r="D69" s="40">
        <v>6.8</v>
      </c>
      <c r="E69" s="5">
        <v>0.82</v>
      </c>
      <c r="F69" s="141">
        <v>0.72</v>
      </c>
      <c r="G69" s="5">
        <v>6.5248999999999997</v>
      </c>
      <c r="H69" s="5">
        <v>34.782600000000002</v>
      </c>
    </row>
    <row r="70" spans="1:8" ht="14.4" x14ac:dyDescent="0.3">
      <c r="A70" t="s">
        <v>77</v>
      </c>
      <c r="B70" s="15">
        <v>9207</v>
      </c>
      <c r="C70" s="5">
        <v>1.28</v>
      </c>
      <c r="D70" s="40">
        <v>6.8</v>
      </c>
      <c r="E70" s="5">
        <v>0.67100000000000004</v>
      </c>
      <c r="F70" s="141">
        <v>0.74</v>
      </c>
      <c r="G70" s="5">
        <v>6.5248999999999997</v>
      </c>
      <c r="H70" s="5">
        <v>34.782600000000002</v>
      </c>
    </row>
    <row r="71" spans="1:8" ht="14.4" x14ac:dyDescent="0.3">
      <c r="A71" t="s">
        <v>78</v>
      </c>
      <c r="B71" s="15">
        <v>10935</v>
      </c>
      <c r="C71" s="5">
        <v>0.52</v>
      </c>
      <c r="D71" s="40">
        <v>6.8</v>
      </c>
      <c r="E71" s="5">
        <v>0.79</v>
      </c>
      <c r="F71" s="141">
        <v>0.17</v>
      </c>
      <c r="G71" s="5">
        <v>6.5248999999999997</v>
      </c>
      <c r="H71" s="5">
        <v>34.782600000000002</v>
      </c>
    </row>
    <row r="72" spans="1:8" ht="14.4" x14ac:dyDescent="0.3">
      <c r="A72" t="s">
        <v>79</v>
      </c>
      <c r="B72" s="15">
        <v>9604</v>
      </c>
      <c r="C72" s="5">
        <v>1.26</v>
      </c>
      <c r="D72" s="5">
        <v>3.96</v>
      </c>
      <c r="E72" s="5">
        <v>0.8</v>
      </c>
      <c r="F72" s="141">
        <v>0.02</v>
      </c>
      <c r="G72" s="5">
        <v>6.5248999999999997</v>
      </c>
      <c r="H72" s="5">
        <v>34.782600000000002</v>
      </c>
    </row>
    <row r="73" spans="1:8" ht="14.4" x14ac:dyDescent="0.3">
      <c r="A73" t="s">
        <v>80</v>
      </c>
      <c r="B73" s="15">
        <v>10316</v>
      </c>
      <c r="C73" s="5">
        <v>0.24</v>
      </c>
      <c r="D73" s="40">
        <v>6.8</v>
      </c>
      <c r="E73" s="5">
        <v>0.8</v>
      </c>
      <c r="F73" s="141">
        <v>0.03</v>
      </c>
      <c r="G73" s="5">
        <v>6.5248999999999997</v>
      </c>
      <c r="H73" s="5">
        <v>34.782600000000002</v>
      </c>
    </row>
    <row r="74" spans="1:8" ht="14.4" x14ac:dyDescent="0.3">
      <c r="A74" t="s">
        <v>81</v>
      </c>
      <c r="B74" s="15">
        <v>1468</v>
      </c>
      <c r="C74" s="5">
        <v>0.24</v>
      </c>
      <c r="D74" s="40">
        <v>6.8</v>
      </c>
      <c r="E74" s="5">
        <v>0.82</v>
      </c>
      <c r="F74" s="141">
        <v>0.55000000000000004</v>
      </c>
      <c r="G74" s="5">
        <v>6.5248999999999997</v>
      </c>
      <c r="H74" s="5">
        <v>34.782600000000002</v>
      </c>
    </row>
    <row r="75" spans="1:8" ht="14.4" x14ac:dyDescent="0.3">
      <c r="A75" t="s">
        <v>82</v>
      </c>
      <c r="B75" s="15">
        <v>8070</v>
      </c>
      <c r="C75" s="5">
        <v>0.53</v>
      </c>
      <c r="D75" s="5">
        <v>16.91</v>
      </c>
      <c r="E75" s="5">
        <v>0.82</v>
      </c>
      <c r="F75" s="141">
        <v>0.42</v>
      </c>
      <c r="G75" s="5">
        <v>6.5248999999999997</v>
      </c>
      <c r="H75" s="5">
        <v>34.782600000000002</v>
      </c>
    </row>
    <row r="76" spans="1:8" ht="14.4" x14ac:dyDescent="0.3">
      <c r="A76" t="s">
        <v>83</v>
      </c>
      <c r="B76" s="15">
        <v>3094</v>
      </c>
      <c r="C76" s="5">
        <v>1.4</v>
      </c>
      <c r="D76" s="40">
        <v>6.8</v>
      </c>
      <c r="E76" s="5">
        <v>0.83</v>
      </c>
      <c r="F76" s="141">
        <v>0.56999999999999995</v>
      </c>
      <c r="G76" s="5">
        <v>6.5248999999999997</v>
      </c>
      <c r="H76" s="5">
        <v>34.782600000000002</v>
      </c>
    </row>
    <row r="77" spans="1:8" ht="14.4" x14ac:dyDescent="0.3">
      <c r="A77" t="s">
        <v>84</v>
      </c>
      <c r="B77" s="15">
        <v>8618</v>
      </c>
      <c r="C77" s="5">
        <v>1.92</v>
      </c>
      <c r="D77" s="40">
        <v>6.8</v>
      </c>
      <c r="E77" s="5">
        <v>0.87</v>
      </c>
      <c r="F77" s="141">
        <v>0.41</v>
      </c>
      <c r="G77" s="5">
        <v>6.5248999999999997</v>
      </c>
      <c r="H77" s="5">
        <v>34.782600000000002</v>
      </c>
    </row>
    <row r="78" spans="1:8" ht="14.4" x14ac:dyDescent="0.3">
      <c r="A78" t="s">
        <v>85</v>
      </c>
      <c r="B78" s="15">
        <v>6806</v>
      </c>
      <c r="C78" s="5">
        <v>1.51</v>
      </c>
      <c r="D78" s="5">
        <v>3.92</v>
      </c>
      <c r="E78" s="5">
        <v>0.82</v>
      </c>
      <c r="F78" s="141">
        <v>0.2</v>
      </c>
      <c r="G78" s="5">
        <v>6.5248999999999997</v>
      </c>
      <c r="H78" s="5">
        <v>34.782600000000002</v>
      </c>
    </row>
    <row r="79" spans="1:8" ht="14.4" x14ac:dyDescent="0.3">
      <c r="A79" t="s">
        <v>86</v>
      </c>
      <c r="B79" s="15">
        <v>7946</v>
      </c>
      <c r="C79" s="40">
        <v>1.85</v>
      </c>
      <c r="D79" s="40">
        <v>6.8</v>
      </c>
      <c r="E79" s="5">
        <v>0.81</v>
      </c>
      <c r="F79" s="141">
        <v>0.09</v>
      </c>
      <c r="G79" s="5">
        <v>6.5248999999999997</v>
      </c>
      <c r="H79" s="5">
        <v>34.782600000000002</v>
      </c>
    </row>
    <row r="80" spans="1:8" ht="14.4" x14ac:dyDescent="0.3">
      <c r="A80" t="s">
        <v>87</v>
      </c>
      <c r="B80" s="15">
        <v>5931</v>
      </c>
      <c r="C80" s="5">
        <v>1.63</v>
      </c>
      <c r="D80" s="40">
        <v>6.8</v>
      </c>
      <c r="E80" s="5">
        <v>0.88</v>
      </c>
      <c r="F80" s="141">
        <v>0.65</v>
      </c>
      <c r="G80" s="5">
        <v>6.5248999999999997</v>
      </c>
      <c r="H80" s="5">
        <v>34.782600000000002</v>
      </c>
    </row>
    <row r="81" spans="1:8" ht="14.4" x14ac:dyDescent="0.3">
      <c r="A81" t="s">
        <v>88</v>
      </c>
      <c r="B81" s="15">
        <v>5909</v>
      </c>
      <c r="C81" s="5">
        <v>0.24</v>
      </c>
      <c r="D81" s="40">
        <v>6.8</v>
      </c>
      <c r="E81" s="5">
        <v>0.82</v>
      </c>
      <c r="F81" s="141">
        <v>0.63</v>
      </c>
      <c r="G81" s="5">
        <v>6.5248999999999997</v>
      </c>
      <c r="H81" s="5">
        <v>34.782600000000002</v>
      </c>
    </row>
    <row r="82" spans="1:8" ht="14.4" x14ac:dyDescent="0.3">
      <c r="A82" t="s">
        <v>89</v>
      </c>
      <c r="B82" s="15">
        <v>9054</v>
      </c>
      <c r="C82" s="5">
        <v>0.57999999999999996</v>
      </c>
      <c r="D82" s="5">
        <v>3.82</v>
      </c>
      <c r="E82" s="5">
        <v>0.85</v>
      </c>
      <c r="F82" s="141">
        <v>0.38</v>
      </c>
      <c r="G82" s="5">
        <v>6.5248999999999997</v>
      </c>
      <c r="H82" s="5">
        <v>34.782600000000002</v>
      </c>
    </row>
    <row r="83" spans="1:8" ht="14.4" x14ac:dyDescent="0.3">
      <c r="A83" t="s">
        <v>90</v>
      </c>
      <c r="B83" s="15">
        <v>2205</v>
      </c>
      <c r="C83" s="5">
        <v>1.42</v>
      </c>
      <c r="D83" s="5">
        <v>1.89</v>
      </c>
      <c r="E83" s="5">
        <v>0.83</v>
      </c>
      <c r="F83" s="141">
        <v>0.64</v>
      </c>
      <c r="G83" s="5">
        <v>6.5248999999999997</v>
      </c>
      <c r="H83" s="5">
        <v>34.782600000000002</v>
      </c>
    </row>
    <row r="84" spans="1:8" ht="14.4" x14ac:dyDescent="0.3">
      <c r="B84" s="15"/>
      <c r="C84" s="5"/>
      <c r="D84" s="5"/>
      <c r="E84" s="5"/>
      <c r="F84" s="5"/>
    </row>
    <row r="85" spans="1:8" ht="14.4" x14ac:dyDescent="0.3">
      <c r="B85" s="15"/>
      <c r="C85" s="5"/>
      <c r="D85" s="5"/>
      <c r="E85" s="5"/>
    </row>
    <row r="86" spans="1:8" ht="14.4" x14ac:dyDescent="0.3">
      <c r="B86" s="15"/>
      <c r="C86" s="5"/>
      <c r="D86" s="5"/>
      <c r="E86" s="5"/>
    </row>
  </sheetData>
  <sortState xmlns:xlrd2="http://schemas.microsoft.com/office/spreadsheetml/2017/richdata2" ref="A2:L65">
    <sortCondition ref="A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BF25-6E1B-4ABE-8D5A-6298F4CF417E}">
  <dimension ref="A1:A6"/>
  <sheetViews>
    <sheetView tabSelected="1" workbookViewId="0">
      <selection activeCell="A4" sqref="A4"/>
    </sheetView>
  </sheetViews>
  <sheetFormatPr defaultRowHeight="14.4" x14ac:dyDescent="0.3"/>
  <cols>
    <col min="1" max="1" width="17.6640625" customWidth="1"/>
  </cols>
  <sheetData>
    <row r="1" spans="1:1" x14ac:dyDescent="0.3">
      <c r="A1" s="1" t="s">
        <v>238</v>
      </c>
    </row>
    <row r="2" spans="1:1" x14ac:dyDescent="0.3">
      <c r="A2" s="5" t="s">
        <v>220</v>
      </c>
    </row>
    <row r="3" spans="1:1" x14ac:dyDescent="0.3">
      <c r="A3" s="5" t="s">
        <v>239</v>
      </c>
    </row>
    <row r="4" spans="1:1" x14ac:dyDescent="0.3">
      <c r="A4" s="5" t="s">
        <v>240</v>
      </c>
    </row>
    <row r="5" spans="1:1" x14ac:dyDescent="0.3">
      <c r="A5" s="5" t="s">
        <v>241</v>
      </c>
    </row>
    <row r="6" spans="1:1" x14ac:dyDescent="0.3">
      <c r="A6" s="5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8515-21DA-4E34-8208-57D76FDC375B}">
  <dimension ref="A1:BA87"/>
  <sheetViews>
    <sheetView topLeftCell="A21" workbookViewId="0">
      <selection activeCell="G47" sqref="G47"/>
    </sheetView>
  </sheetViews>
  <sheetFormatPr defaultRowHeight="14.4" x14ac:dyDescent="0.3"/>
  <cols>
    <col min="1" max="1" width="17.33203125" bestFit="1" customWidth="1"/>
    <col min="2" max="2" width="30.6640625" bestFit="1" customWidth="1"/>
    <col min="3" max="3" width="24" bestFit="1" customWidth="1"/>
    <col min="4" max="4" width="17" bestFit="1" customWidth="1"/>
    <col min="5" max="5" width="19.6640625" bestFit="1" customWidth="1"/>
    <col min="6" max="6" width="15.6640625" bestFit="1" customWidth="1"/>
    <col min="7" max="7" width="17.88671875" bestFit="1" customWidth="1"/>
    <col min="8" max="8" width="9.6640625" bestFit="1" customWidth="1"/>
    <col min="9" max="9" width="31" bestFit="1" customWidth="1"/>
    <col min="10" max="10" width="14.88671875" bestFit="1" customWidth="1"/>
    <col min="11" max="11" width="18.21875" bestFit="1" customWidth="1"/>
    <col min="12" max="12" width="15.6640625" bestFit="1" customWidth="1"/>
    <col min="13" max="13" width="30.6640625" bestFit="1" customWidth="1"/>
    <col min="14" max="14" width="9.6640625" bestFit="1" customWidth="1"/>
    <col min="15" max="15" width="10.6640625" bestFit="1" customWidth="1"/>
    <col min="16" max="16" width="11.77734375" bestFit="1" customWidth="1"/>
    <col min="17" max="17" width="13.77734375" bestFit="1" customWidth="1"/>
    <col min="18" max="18" width="30.6640625" bestFit="1" customWidth="1"/>
    <col min="19" max="19" width="9.6640625" bestFit="1" customWidth="1"/>
    <col min="20" max="20" width="10.6640625" bestFit="1" customWidth="1"/>
    <col min="21" max="21" width="11.77734375" bestFit="1" customWidth="1"/>
    <col min="22" max="22" width="13.77734375" bestFit="1" customWidth="1"/>
    <col min="23" max="23" width="18" bestFit="1" customWidth="1"/>
    <col min="24" max="24" width="17" bestFit="1" customWidth="1"/>
    <col min="25" max="25" width="19.6640625" bestFit="1" customWidth="1"/>
    <col min="26" max="27" width="9.6640625" bestFit="1" customWidth="1"/>
    <col min="28" max="28" width="11.77734375" bestFit="1" customWidth="1"/>
    <col min="29" max="29" width="8.109375" bestFit="1" customWidth="1"/>
    <col min="30" max="30" width="20.33203125" bestFit="1" customWidth="1"/>
    <col min="31" max="31" width="8.109375" bestFit="1" customWidth="1"/>
    <col min="32" max="32" width="18.21875" bestFit="1" customWidth="1"/>
    <col min="34" max="34" width="18.21875" bestFit="1" customWidth="1"/>
    <col min="36" max="36" width="13.77734375" bestFit="1" customWidth="1"/>
    <col min="37" max="37" width="8.109375" bestFit="1" customWidth="1"/>
    <col min="38" max="38" width="12.6640625" bestFit="1" customWidth="1"/>
    <col min="39" max="39" width="8.109375" bestFit="1" customWidth="1"/>
    <col min="40" max="40" width="20.33203125" bestFit="1" customWidth="1"/>
    <col min="42" max="42" width="24" bestFit="1" customWidth="1"/>
    <col min="43" max="43" width="8.109375" bestFit="1" customWidth="1"/>
    <col min="44" max="44" width="15" bestFit="1" customWidth="1"/>
    <col min="45" max="45" width="8.109375" bestFit="1" customWidth="1"/>
    <col min="46" max="46" width="11.77734375" bestFit="1" customWidth="1"/>
    <col min="47" max="47" width="8.109375" bestFit="1" customWidth="1"/>
    <col min="48" max="48" width="10.88671875" bestFit="1" customWidth="1"/>
    <col min="49" max="49" width="8.109375" bestFit="1" customWidth="1"/>
    <col min="50" max="50" width="8.21875" bestFit="1" customWidth="1"/>
    <col min="51" max="51" width="8.109375" bestFit="1" customWidth="1"/>
    <col min="52" max="52" width="7.21875" bestFit="1" customWidth="1"/>
    <col min="53" max="53" width="8.109375" bestFit="1" customWidth="1"/>
  </cols>
  <sheetData>
    <row r="1" spans="1:53" x14ac:dyDescent="0.3">
      <c r="A1" s="4" t="s">
        <v>91</v>
      </c>
      <c r="B1" s="4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</row>
    <row r="2" spans="1:53" ht="15.6" x14ac:dyDescent="0.3">
      <c r="A2" s="164" t="s">
        <v>97</v>
      </c>
      <c r="B2" s="24" t="s">
        <v>98</v>
      </c>
      <c r="C2" s="22" t="s">
        <v>99</v>
      </c>
      <c r="D2" s="28">
        <v>3.746E-2</v>
      </c>
      <c r="E2" s="28">
        <v>5.6140000000000002E-2</v>
      </c>
      <c r="F2" s="29">
        <v>9.4299999999999991E-3</v>
      </c>
      <c r="I2" s="96"/>
      <c r="J2" s="5"/>
      <c r="K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D2" s="153"/>
      <c r="AE2" s="153"/>
      <c r="AF2" s="153"/>
      <c r="AG2" s="153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</row>
    <row r="3" spans="1:53" x14ac:dyDescent="0.3">
      <c r="A3" s="165"/>
      <c r="B3" s="25" t="s">
        <v>100</v>
      </c>
      <c r="C3" s="21" t="s">
        <v>99</v>
      </c>
      <c r="D3" s="30">
        <v>4.6019999999999998E-2</v>
      </c>
      <c r="E3" s="30">
        <v>6.0740000000000002E-2</v>
      </c>
      <c r="F3" s="31">
        <v>1.4540000000000001E-2</v>
      </c>
      <c r="I3" s="5"/>
      <c r="J3" s="95"/>
      <c r="K3" s="7"/>
      <c r="L3" s="7"/>
      <c r="M3" s="5"/>
      <c r="N3" s="7"/>
      <c r="O3" s="7"/>
      <c r="P3" s="7"/>
      <c r="Q3" s="7"/>
      <c r="R3" s="5"/>
      <c r="S3" s="7"/>
      <c r="T3" s="7"/>
      <c r="U3" s="7"/>
      <c r="V3" s="7"/>
      <c r="W3" s="5"/>
      <c r="X3" s="7"/>
      <c r="Y3" s="5"/>
      <c r="Z3" s="5"/>
      <c r="AA3" s="5"/>
      <c r="AB3" s="5"/>
      <c r="AC3" s="7"/>
      <c r="AD3" s="5"/>
      <c r="AF3" s="5"/>
      <c r="AH3" s="5"/>
      <c r="AJ3" s="5"/>
      <c r="AL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3">
      <c r="A4" s="165"/>
      <c r="B4" s="25" t="s">
        <v>237</v>
      </c>
      <c r="C4" s="21" t="s">
        <v>99</v>
      </c>
      <c r="D4" s="30">
        <v>6.7059999999999995E-2</v>
      </c>
      <c r="E4" s="30">
        <v>9.783E-2</v>
      </c>
      <c r="F4" s="31">
        <v>1.9789999999999999E-2</v>
      </c>
      <c r="I4" s="5"/>
      <c r="J4" s="95"/>
      <c r="K4" s="7"/>
      <c r="L4" s="7"/>
      <c r="M4" s="5"/>
      <c r="N4" s="7"/>
      <c r="O4" s="7"/>
      <c r="P4" s="7"/>
      <c r="Q4" s="7"/>
      <c r="R4" s="5"/>
      <c r="S4" s="7"/>
      <c r="T4" s="7"/>
      <c r="U4" s="7"/>
      <c r="V4" s="7"/>
      <c r="W4" s="5"/>
      <c r="X4" s="61"/>
      <c r="Y4" s="61"/>
      <c r="Z4" s="5"/>
      <c r="AA4" s="5"/>
      <c r="AD4" s="7"/>
      <c r="AE4" s="7"/>
      <c r="AF4" s="7"/>
      <c r="AG4" s="7"/>
      <c r="AH4" s="7"/>
      <c r="AI4" s="7"/>
      <c r="AJ4" s="7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x14ac:dyDescent="0.3">
      <c r="A5" s="166"/>
      <c r="B5" s="26" t="s">
        <v>102</v>
      </c>
      <c r="C5" s="23" t="s">
        <v>99</v>
      </c>
      <c r="D5" s="32">
        <v>6.1280000000000001E-2</v>
      </c>
      <c r="E5" s="32">
        <v>6.1830000000000003E-2</v>
      </c>
      <c r="F5" s="33">
        <v>1.7590000000000001E-2</v>
      </c>
      <c r="I5" s="5"/>
      <c r="J5" s="95"/>
      <c r="K5" s="7"/>
      <c r="L5" s="7"/>
      <c r="M5" s="5"/>
      <c r="N5" s="7"/>
      <c r="O5" s="7"/>
      <c r="P5" s="7"/>
      <c r="Q5" s="7"/>
      <c r="R5" s="5"/>
      <c r="S5" s="7"/>
      <c r="T5" s="7"/>
      <c r="U5" s="7"/>
      <c r="V5" s="7"/>
      <c r="W5" s="5"/>
      <c r="X5" s="61"/>
      <c r="Y5" s="61"/>
      <c r="Z5" s="5"/>
      <c r="AA5" s="5"/>
      <c r="AD5" s="7"/>
      <c r="AE5" s="7"/>
      <c r="AF5" s="7"/>
      <c r="AG5" s="7"/>
      <c r="AH5" s="7"/>
      <c r="AI5" s="7"/>
      <c r="AJ5" s="7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5"/>
      <c r="AY5" s="5"/>
      <c r="AZ5" s="5"/>
      <c r="BA5" s="5"/>
    </row>
    <row r="6" spans="1:53" x14ac:dyDescent="0.3">
      <c r="A6" s="2"/>
      <c r="I6" s="5"/>
      <c r="J6" s="94"/>
      <c r="K6" s="7"/>
      <c r="L6" s="7"/>
      <c r="M6" s="5"/>
      <c r="N6" s="7"/>
      <c r="O6" s="7"/>
      <c r="P6" s="7"/>
      <c r="Q6" s="7"/>
      <c r="R6" s="5"/>
      <c r="S6" s="7"/>
      <c r="T6" s="7"/>
      <c r="U6" s="7"/>
      <c r="V6" s="7"/>
      <c r="AD6" s="7"/>
      <c r="AE6" s="7"/>
      <c r="AF6" s="7"/>
      <c r="AG6" s="7"/>
      <c r="AH6" s="7"/>
      <c r="AI6" s="7"/>
      <c r="AJ6" s="7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5"/>
      <c r="AY6" s="5"/>
      <c r="AZ6" s="5"/>
      <c r="BA6" s="5"/>
    </row>
    <row r="7" spans="1:53" x14ac:dyDescent="0.3">
      <c r="A7" s="6"/>
      <c r="B7" s="4"/>
      <c r="D7" s="5" t="s">
        <v>103</v>
      </c>
      <c r="E7" s="5" t="s">
        <v>104</v>
      </c>
      <c r="F7" s="5" t="s">
        <v>105</v>
      </c>
      <c r="G7" s="5" t="s">
        <v>106</v>
      </c>
      <c r="I7" s="5"/>
      <c r="J7" s="5"/>
      <c r="M7" s="5"/>
      <c r="N7" s="7"/>
      <c r="O7" s="7"/>
      <c r="P7" s="7"/>
      <c r="Q7" s="7"/>
      <c r="R7" s="5"/>
      <c r="S7" s="7"/>
      <c r="T7" s="7"/>
      <c r="U7" s="7"/>
      <c r="V7" s="7"/>
      <c r="AD7" s="7"/>
      <c r="AE7" s="7"/>
      <c r="AF7" s="7"/>
      <c r="AG7" s="7"/>
      <c r="AH7" s="7"/>
      <c r="AI7" s="7"/>
      <c r="AN7" s="7"/>
      <c r="AO7" s="7"/>
      <c r="AP7" s="7"/>
      <c r="AQ7" s="7"/>
      <c r="AR7" s="7"/>
      <c r="AS7" s="7"/>
      <c r="AT7" s="5"/>
      <c r="AU7" s="5"/>
      <c r="AV7" s="5"/>
      <c r="AW7" s="5"/>
      <c r="AX7" s="5"/>
      <c r="AY7" s="5"/>
      <c r="AZ7" s="5"/>
      <c r="BA7" s="5"/>
    </row>
    <row r="8" spans="1:53" x14ac:dyDescent="0.3">
      <c r="A8" s="164" t="s">
        <v>107</v>
      </c>
      <c r="B8" s="24" t="s">
        <v>108</v>
      </c>
      <c r="C8" s="22" t="s">
        <v>99</v>
      </c>
      <c r="D8" s="28">
        <v>0.11027000000000001</v>
      </c>
      <c r="E8" s="28">
        <v>0.11985</v>
      </c>
      <c r="F8" s="28">
        <v>0.12944</v>
      </c>
      <c r="G8" s="29">
        <v>0.11851</v>
      </c>
      <c r="I8" s="97"/>
      <c r="J8" s="98"/>
      <c r="M8" s="5"/>
      <c r="N8" s="7"/>
      <c r="O8" s="7"/>
      <c r="P8" s="7"/>
      <c r="Q8" s="7"/>
      <c r="R8" s="5"/>
      <c r="S8" s="7"/>
      <c r="T8" s="7"/>
      <c r="U8" s="7"/>
      <c r="V8" s="7"/>
      <c r="AD8" s="7"/>
      <c r="AE8" s="7"/>
      <c r="AF8" s="7"/>
      <c r="AG8" s="7"/>
      <c r="AH8" s="7"/>
      <c r="AI8" s="7"/>
      <c r="AN8" s="7"/>
      <c r="AO8" s="7"/>
      <c r="AP8" s="7"/>
      <c r="AQ8" s="7"/>
      <c r="AR8" s="7"/>
      <c r="AS8" s="7"/>
      <c r="AT8" s="5"/>
      <c r="AU8" s="5"/>
      <c r="AV8" s="5"/>
      <c r="AW8" s="5"/>
      <c r="AX8" s="5"/>
      <c r="AY8" s="5"/>
      <c r="AZ8" s="5"/>
      <c r="BA8" s="5"/>
    </row>
    <row r="9" spans="1:53" x14ac:dyDescent="0.3">
      <c r="A9" s="165"/>
      <c r="B9" s="25" t="s">
        <v>109</v>
      </c>
      <c r="C9" s="21" t="s">
        <v>99</v>
      </c>
      <c r="D9" s="30">
        <v>0.13206999999999999</v>
      </c>
      <c r="E9" s="30">
        <v>0.15093999999999999</v>
      </c>
      <c r="F9" s="30">
        <v>0.16980999999999999</v>
      </c>
      <c r="G9" s="31">
        <v>0.14452999999999999</v>
      </c>
      <c r="I9" s="5"/>
      <c r="J9" s="98"/>
      <c r="M9" s="5"/>
      <c r="N9" s="7"/>
      <c r="O9" s="7"/>
      <c r="P9" s="7"/>
      <c r="Q9" s="7"/>
      <c r="R9" s="5"/>
      <c r="S9" s="7"/>
      <c r="T9" s="7"/>
      <c r="U9" s="7"/>
      <c r="V9" s="7"/>
      <c r="AD9" s="7"/>
      <c r="AE9" s="7"/>
      <c r="AF9" s="7"/>
      <c r="AG9" s="7"/>
      <c r="AN9" s="7"/>
      <c r="AO9" s="7"/>
      <c r="AP9" s="7"/>
      <c r="AQ9" s="7"/>
      <c r="AR9" s="7"/>
      <c r="AS9" s="7"/>
      <c r="AT9" s="5"/>
      <c r="AU9" s="5"/>
      <c r="AV9" s="5"/>
      <c r="AW9" s="5"/>
      <c r="AX9" s="5"/>
      <c r="AY9" s="5"/>
      <c r="AZ9" s="5"/>
      <c r="BA9" s="5"/>
    </row>
    <row r="10" spans="1:53" x14ac:dyDescent="0.3">
      <c r="A10" s="165"/>
      <c r="B10" s="25" t="s">
        <v>110</v>
      </c>
      <c r="C10" s="21" t="s">
        <v>99</v>
      </c>
      <c r="D10" s="30">
        <v>0.18171999999999999</v>
      </c>
      <c r="E10" s="30">
        <v>0.22159999999999999</v>
      </c>
      <c r="F10" s="30">
        <v>0.26149</v>
      </c>
      <c r="G10" s="31">
        <v>0.23755999999999999</v>
      </c>
      <c r="M10" s="5"/>
      <c r="N10" s="7"/>
      <c r="O10" s="7"/>
      <c r="P10" s="7"/>
      <c r="Q10" s="7"/>
      <c r="R10" s="5"/>
      <c r="S10" s="7"/>
      <c r="T10" s="7"/>
      <c r="U10" s="7"/>
      <c r="V10" s="7"/>
      <c r="AD10" s="7"/>
      <c r="AE10" s="7"/>
      <c r="AN10" s="7"/>
      <c r="AO10" s="7"/>
      <c r="AP10" s="7"/>
      <c r="AQ10" s="7"/>
      <c r="AR10" s="7"/>
      <c r="AS10" s="7"/>
      <c r="AT10" s="5"/>
      <c r="AU10" s="5"/>
      <c r="AV10" s="5"/>
      <c r="AW10" s="5"/>
      <c r="AX10" s="5"/>
      <c r="AY10" s="5"/>
      <c r="AZ10" s="5"/>
      <c r="BA10" s="5"/>
    </row>
    <row r="11" spans="1:53" x14ac:dyDescent="0.3">
      <c r="A11" s="165"/>
      <c r="B11" s="25" t="s">
        <v>111</v>
      </c>
      <c r="C11" s="21" t="s">
        <v>99</v>
      </c>
      <c r="D11" s="30">
        <v>0.16044</v>
      </c>
      <c r="E11" s="30">
        <v>0.19131000000000001</v>
      </c>
      <c r="F11" s="30">
        <v>0.22217999999999999</v>
      </c>
      <c r="G11" s="31">
        <v>0.20099</v>
      </c>
      <c r="I11" s="5"/>
      <c r="J11" s="5"/>
      <c r="K11" s="5"/>
    </row>
    <row r="12" spans="1:53" x14ac:dyDescent="0.3">
      <c r="A12" s="165"/>
      <c r="B12" s="25" t="s">
        <v>112</v>
      </c>
      <c r="C12" s="21" t="s">
        <v>99</v>
      </c>
      <c r="D12" s="30">
        <v>0.14831</v>
      </c>
      <c r="E12" s="30">
        <v>0.18537999999999999</v>
      </c>
      <c r="F12" s="30">
        <v>0.22245999999999999</v>
      </c>
      <c r="G12" s="31">
        <v>0.18537999999999999</v>
      </c>
      <c r="I12" s="5"/>
      <c r="J12" s="5"/>
      <c r="K12" s="5"/>
    </row>
    <row r="13" spans="1:53" x14ac:dyDescent="0.3">
      <c r="A13" s="165"/>
      <c r="B13" s="25" t="s">
        <v>113</v>
      </c>
      <c r="C13" s="21" t="s">
        <v>99</v>
      </c>
      <c r="D13" s="30">
        <v>0.15178</v>
      </c>
      <c r="E13" s="30">
        <v>0.20236999999999999</v>
      </c>
      <c r="F13" s="30">
        <v>0.25296000000000002</v>
      </c>
      <c r="G13" s="31">
        <v>0.22058</v>
      </c>
      <c r="I13" s="5"/>
      <c r="J13" s="98"/>
      <c r="K13" s="5"/>
    </row>
    <row r="14" spans="1:53" x14ac:dyDescent="0.3">
      <c r="A14" s="165"/>
      <c r="B14" s="25" t="s">
        <v>114</v>
      </c>
      <c r="C14" s="21" t="s">
        <v>99</v>
      </c>
      <c r="D14" s="30">
        <v>0.15162</v>
      </c>
      <c r="E14" s="30">
        <v>0.20158999999999999</v>
      </c>
      <c r="F14" s="30">
        <v>0.25157000000000002</v>
      </c>
      <c r="G14" s="31">
        <v>0.21898000000000001</v>
      </c>
      <c r="I14" s="5"/>
      <c r="J14" s="99"/>
      <c r="K14" s="5"/>
    </row>
    <row r="15" spans="1:53" x14ac:dyDescent="0.3">
      <c r="A15" s="166"/>
      <c r="B15" s="26" t="s">
        <v>115</v>
      </c>
      <c r="C15" s="23" t="s">
        <v>99</v>
      </c>
      <c r="D15" s="32">
        <v>0.15526999999999999</v>
      </c>
      <c r="E15" s="32">
        <v>0.19733999999999999</v>
      </c>
      <c r="F15" s="32">
        <v>0.23941999999999999</v>
      </c>
      <c r="G15" s="33">
        <v>0.21154000000000001</v>
      </c>
      <c r="I15" s="5"/>
      <c r="J15" s="98"/>
      <c r="K15" s="5"/>
    </row>
    <row r="16" spans="1:53" x14ac:dyDescent="0.3">
      <c r="D16" s="5"/>
      <c r="E16" s="5"/>
      <c r="F16" s="5"/>
      <c r="G16" s="5"/>
      <c r="I16" s="5"/>
      <c r="J16" s="98"/>
      <c r="K16" s="5"/>
    </row>
    <row r="17" spans="1:11" x14ac:dyDescent="0.3">
      <c r="A17" s="161" t="s">
        <v>116</v>
      </c>
      <c r="B17" s="24" t="s">
        <v>108</v>
      </c>
      <c r="C17" s="22" t="s">
        <v>99</v>
      </c>
      <c r="D17" s="28">
        <v>0.13155</v>
      </c>
      <c r="E17" s="28">
        <v>0.14299000000000001</v>
      </c>
      <c r="F17" s="28">
        <v>0.15442</v>
      </c>
      <c r="G17" s="29">
        <v>0.14138000000000001</v>
      </c>
      <c r="I17" s="5"/>
      <c r="J17" s="5"/>
      <c r="K17" s="5"/>
    </row>
    <row r="18" spans="1:11" x14ac:dyDescent="0.3">
      <c r="A18" s="162"/>
      <c r="B18" s="25" t="s">
        <v>109</v>
      </c>
      <c r="C18" s="21" t="s">
        <v>99</v>
      </c>
      <c r="D18" s="30">
        <v>0.15756000000000001</v>
      </c>
      <c r="E18" s="30">
        <v>0.18007000000000001</v>
      </c>
      <c r="F18" s="30">
        <v>0.20258000000000001</v>
      </c>
      <c r="G18" s="31">
        <v>0.17241999999999999</v>
      </c>
      <c r="I18" s="5"/>
      <c r="J18" s="5"/>
      <c r="K18" s="5"/>
    </row>
    <row r="19" spans="1:11" x14ac:dyDescent="0.3">
      <c r="A19" s="162"/>
      <c r="B19" s="25" t="s">
        <v>110</v>
      </c>
      <c r="C19" s="21" t="s">
        <v>99</v>
      </c>
      <c r="D19" s="30">
        <v>0.21678</v>
      </c>
      <c r="E19" s="30">
        <v>0.26436999999999999</v>
      </c>
      <c r="F19" s="30">
        <v>0.31196000000000002</v>
      </c>
      <c r="G19" s="31">
        <v>0.28339999999999999</v>
      </c>
      <c r="I19" s="5"/>
      <c r="J19" s="5"/>
      <c r="K19" s="5"/>
    </row>
    <row r="20" spans="1:11" x14ac:dyDescent="0.3">
      <c r="A20" s="162"/>
      <c r="B20" s="25" t="s">
        <v>111</v>
      </c>
      <c r="C20" s="21" t="s">
        <v>99</v>
      </c>
      <c r="D20" s="30">
        <v>0.19139999999999999</v>
      </c>
      <c r="E20" s="30">
        <v>0.22822999999999999</v>
      </c>
      <c r="F20" s="30">
        <v>0.26506000000000002</v>
      </c>
      <c r="G20" s="31">
        <v>0.23977999999999999</v>
      </c>
      <c r="I20" s="5"/>
      <c r="J20" s="5"/>
      <c r="K20" s="5"/>
    </row>
    <row r="21" spans="1:11" x14ac:dyDescent="0.3">
      <c r="A21" s="162"/>
      <c r="B21" s="25" t="s">
        <v>112</v>
      </c>
      <c r="C21" s="21" t="s">
        <v>99</v>
      </c>
      <c r="D21" s="30">
        <v>0.17199</v>
      </c>
      <c r="E21" s="30">
        <v>0.21498999999999999</v>
      </c>
      <c r="F21" s="30">
        <v>0.25799</v>
      </c>
      <c r="G21" s="31">
        <v>0.21498999999999999</v>
      </c>
      <c r="I21" s="5"/>
      <c r="J21" s="5"/>
      <c r="K21" s="5"/>
    </row>
    <row r="22" spans="1:11" x14ac:dyDescent="0.3">
      <c r="A22" s="162"/>
      <c r="B22" s="25" t="s">
        <v>113</v>
      </c>
      <c r="C22" s="21" t="s">
        <v>99</v>
      </c>
      <c r="D22" s="30">
        <v>0.17602000000000001</v>
      </c>
      <c r="E22" s="30">
        <v>0.23469000000000001</v>
      </c>
      <c r="F22" s="30">
        <v>0.29336000000000001</v>
      </c>
      <c r="G22" s="31">
        <v>0.25580999999999998</v>
      </c>
      <c r="I22" s="5"/>
      <c r="J22" s="5"/>
      <c r="K22" s="5"/>
    </row>
    <row r="23" spans="1:11" x14ac:dyDescent="0.3">
      <c r="A23" s="162"/>
      <c r="B23" s="25" t="s">
        <v>114</v>
      </c>
      <c r="C23" s="21" t="s">
        <v>99</v>
      </c>
      <c r="D23" s="30">
        <v>0.17582999999999999</v>
      </c>
      <c r="E23" s="30">
        <v>0.23379</v>
      </c>
      <c r="F23" s="30">
        <v>0.29175000000000001</v>
      </c>
      <c r="G23" s="31">
        <v>0.25395000000000001</v>
      </c>
      <c r="I23" s="5"/>
      <c r="J23" s="5"/>
      <c r="K23" s="5"/>
    </row>
    <row r="24" spans="1:11" x14ac:dyDescent="0.3">
      <c r="A24" s="163"/>
      <c r="B24" s="26" t="s">
        <v>115</v>
      </c>
      <c r="C24" s="23" t="s">
        <v>99</v>
      </c>
      <c r="D24" s="32">
        <v>0.1822</v>
      </c>
      <c r="E24" s="32">
        <v>0.23157</v>
      </c>
      <c r="F24" s="32">
        <v>0.28094999999999998</v>
      </c>
      <c r="G24" s="33">
        <v>0.24823999999999999</v>
      </c>
      <c r="I24" s="5"/>
      <c r="J24" s="5"/>
      <c r="K24" s="5"/>
    </row>
    <row r="25" spans="1:11" x14ac:dyDescent="0.3">
      <c r="G25" s="6"/>
      <c r="I25" s="5"/>
      <c r="J25" s="5"/>
      <c r="K25" s="5"/>
    </row>
    <row r="26" spans="1:11" ht="15" thickBot="1" x14ac:dyDescent="0.35">
      <c r="B26" s="5"/>
      <c r="C26" s="5"/>
      <c r="D26" s="5"/>
      <c r="E26" s="5" t="s">
        <v>119</v>
      </c>
      <c r="F26" s="5" t="s">
        <v>120</v>
      </c>
      <c r="I26" s="5"/>
      <c r="J26" s="5"/>
      <c r="K26" s="5"/>
    </row>
    <row r="27" spans="1:11" x14ac:dyDescent="0.3">
      <c r="A27" s="164" t="s">
        <v>121</v>
      </c>
      <c r="B27" s="8" t="s">
        <v>122</v>
      </c>
      <c r="C27" s="8" t="s">
        <v>123</v>
      </c>
      <c r="D27" s="9">
        <v>0.13516</v>
      </c>
      <c r="E27" s="8" t="s">
        <v>187</v>
      </c>
      <c r="F27" s="101" t="s">
        <v>187</v>
      </c>
      <c r="I27" s="5"/>
      <c r="J27" s="5"/>
      <c r="K27" s="5"/>
    </row>
    <row r="28" spans="1:11" x14ac:dyDescent="0.3">
      <c r="A28" s="165"/>
      <c r="B28" s="5" t="s">
        <v>126</v>
      </c>
      <c r="C28" s="5" t="s">
        <v>123</v>
      </c>
      <c r="D28" s="102" t="s">
        <v>187</v>
      </c>
      <c r="E28" s="5">
        <v>0.25900000000000001</v>
      </c>
      <c r="F28" s="16">
        <v>0.20300000000000001</v>
      </c>
      <c r="I28" s="5"/>
      <c r="J28" s="5"/>
      <c r="K28" s="5"/>
    </row>
    <row r="29" spans="1:11" ht="15" thickBot="1" x14ac:dyDescent="0.35">
      <c r="A29" s="166"/>
      <c r="B29" s="12" t="s">
        <v>127</v>
      </c>
      <c r="C29" s="12" t="s">
        <v>123</v>
      </c>
      <c r="D29" s="103" t="s">
        <v>187</v>
      </c>
      <c r="E29" s="12">
        <v>0.315</v>
      </c>
      <c r="F29" s="17">
        <v>0.13100000000000001</v>
      </c>
    </row>
    <row r="30" spans="1:11" ht="15" thickBot="1" x14ac:dyDescent="0.35"/>
    <row r="31" spans="1:11" x14ac:dyDescent="0.3">
      <c r="A31" s="34" t="s">
        <v>128</v>
      </c>
      <c r="B31" s="18" t="s">
        <v>129</v>
      </c>
      <c r="C31" s="18" t="s">
        <v>123</v>
      </c>
      <c r="D31" s="27">
        <v>6.9100000000000003E-3</v>
      </c>
    </row>
    <row r="33" spans="1:7" ht="15" thickBot="1" x14ac:dyDescent="0.35">
      <c r="B33" s="4" t="s">
        <v>92</v>
      </c>
      <c r="C33" s="5" t="s">
        <v>130</v>
      </c>
      <c r="D33" s="5" t="s">
        <v>93</v>
      </c>
      <c r="E33" s="5" t="s">
        <v>131</v>
      </c>
      <c r="G33" s="100" t="s">
        <v>132</v>
      </c>
    </row>
    <row r="34" spans="1:7" x14ac:dyDescent="0.3">
      <c r="A34" s="161" t="s">
        <v>132</v>
      </c>
      <c r="B34" s="157" t="str">
        <f>G34</f>
        <v>Crude Tanker</v>
      </c>
      <c r="C34" s="9" t="s">
        <v>134</v>
      </c>
      <c r="D34" s="9" t="s">
        <v>123</v>
      </c>
      <c r="E34" s="10">
        <v>6.7000000000000002E-4</v>
      </c>
      <c r="F34" s="149" t="s">
        <v>189</v>
      </c>
      <c r="G34" s="5" t="s">
        <v>188</v>
      </c>
    </row>
    <row r="35" spans="1:7" x14ac:dyDescent="0.3">
      <c r="A35" s="162"/>
      <c r="B35" s="158"/>
      <c r="C35" s="7" t="s">
        <v>135</v>
      </c>
      <c r="D35" s="7" t="s">
        <v>123</v>
      </c>
      <c r="E35" s="11">
        <v>1.01E-3</v>
      </c>
      <c r="G35" s="5" t="s">
        <v>190</v>
      </c>
    </row>
    <row r="36" spans="1:7" x14ac:dyDescent="0.3">
      <c r="A36" s="162"/>
      <c r="B36" s="158"/>
      <c r="C36" s="7" t="s">
        <v>136</v>
      </c>
      <c r="D36" s="7" t="s">
        <v>123</v>
      </c>
      <c r="E36" s="11">
        <v>1.3500000000000001E-3</v>
      </c>
      <c r="G36" s="5" t="s">
        <v>191</v>
      </c>
    </row>
    <row r="37" spans="1:7" x14ac:dyDescent="0.3">
      <c r="A37" s="162"/>
      <c r="B37" s="158"/>
      <c r="C37" s="7" t="s">
        <v>137</v>
      </c>
      <c r="D37" s="7" t="s">
        <v>123</v>
      </c>
      <c r="E37" s="11">
        <v>1.72E-3</v>
      </c>
      <c r="G37" s="5" t="s">
        <v>192</v>
      </c>
    </row>
    <row r="38" spans="1:7" x14ac:dyDescent="0.3">
      <c r="A38" s="162"/>
      <c r="B38" s="158"/>
      <c r="C38" s="7" t="s">
        <v>138</v>
      </c>
      <c r="D38" s="7" t="s">
        <v>123</v>
      </c>
      <c r="E38" s="11">
        <v>2.0899999999999998E-3</v>
      </c>
      <c r="G38" s="5" t="s">
        <v>152</v>
      </c>
    </row>
    <row r="39" spans="1:7" x14ac:dyDescent="0.3">
      <c r="A39" s="162"/>
      <c r="B39" s="158"/>
      <c r="C39" s="7" t="s">
        <v>139</v>
      </c>
      <c r="D39" s="7" t="s">
        <v>123</v>
      </c>
      <c r="E39" s="11">
        <v>7.6400000000000001E-3</v>
      </c>
    </row>
    <row r="40" spans="1:7" x14ac:dyDescent="0.3">
      <c r="A40" s="162"/>
      <c r="B40" s="158"/>
      <c r="C40" s="7" t="s">
        <v>140</v>
      </c>
      <c r="D40" s="7" t="s">
        <v>123</v>
      </c>
      <c r="E40" s="11">
        <v>1.0399999999999999E-3</v>
      </c>
    </row>
    <row r="41" spans="1:7" x14ac:dyDescent="0.3">
      <c r="A41" s="162"/>
      <c r="B41" s="158" t="str">
        <f>G35</f>
        <v>Products Tanker</v>
      </c>
      <c r="C41" s="7" t="s">
        <v>142</v>
      </c>
      <c r="D41" s="7" t="s">
        <v>123</v>
      </c>
      <c r="E41" s="11">
        <v>1.31E-3</v>
      </c>
    </row>
    <row r="42" spans="1:7" x14ac:dyDescent="0.3">
      <c r="A42" s="162"/>
      <c r="B42" s="158"/>
      <c r="C42" s="7" t="s">
        <v>143</v>
      </c>
      <c r="D42" s="7" t="s">
        <v>123</v>
      </c>
      <c r="E42" s="11">
        <v>2.3600000000000001E-3</v>
      </c>
    </row>
    <row r="43" spans="1:7" x14ac:dyDescent="0.3">
      <c r="A43" s="162"/>
      <c r="B43" s="158"/>
      <c r="C43" s="7" t="s">
        <v>144</v>
      </c>
      <c r="D43" s="7" t="s">
        <v>123</v>
      </c>
      <c r="E43" s="11">
        <v>4.2900000000000004E-3</v>
      </c>
    </row>
    <row r="44" spans="1:7" x14ac:dyDescent="0.3">
      <c r="A44" s="162"/>
      <c r="B44" s="158"/>
      <c r="C44" s="7" t="s">
        <v>145</v>
      </c>
      <c r="D44" s="7" t="s">
        <v>123</v>
      </c>
      <c r="E44" s="11">
        <v>6.7000000000000002E-3</v>
      </c>
    </row>
    <row r="45" spans="1:7" x14ac:dyDescent="0.3">
      <c r="A45" s="162"/>
      <c r="B45" s="158"/>
      <c r="C45" s="7" t="s">
        <v>146</v>
      </c>
      <c r="D45" s="7" t="s">
        <v>123</v>
      </c>
      <c r="E45" s="11">
        <v>1.0330000000000001E-2</v>
      </c>
    </row>
    <row r="46" spans="1:7" x14ac:dyDescent="0.3">
      <c r="A46" s="162"/>
      <c r="B46" s="158"/>
      <c r="C46" s="7" t="s">
        <v>140</v>
      </c>
      <c r="D46" s="7" t="s">
        <v>123</v>
      </c>
      <c r="E46" s="11">
        <v>2.0500000000000002E-3</v>
      </c>
    </row>
    <row r="47" spans="1:7" x14ac:dyDescent="0.3">
      <c r="A47" s="162"/>
      <c r="B47" s="158" t="str">
        <f>G36</f>
        <v>Chemical Tanker</v>
      </c>
      <c r="C47" s="7" t="s">
        <v>148</v>
      </c>
      <c r="D47" s="7" t="s">
        <v>123</v>
      </c>
      <c r="E47" s="11">
        <v>1.9300000000000001E-3</v>
      </c>
    </row>
    <row r="48" spans="1:7" x14ac:dyDescent="0.3">
      <c r="A48" s="162"/>
      <c r="B48" s="158"/>
      <c r="C48" s="7" t="s">
        <v>144</v>
      </c>
      <c r="D48" s="7" t="s">
        <v>123</v>
      </c>
      <c r="E48" s="11">
        <v>2.48E-3</v>
      </c>
    </row>
    <row r="49" spans="1:7" x14ac:dyDescent="0.3">
      <c r="A49" s="162"/>
      <c r="B49" s="158"/>
      <c r="C49" s="7" t="s">
        <v>145</v>
      </c>
      <c r="D49" s="7" t="s">
        <v>123</v>
      </c>
      <c r="E49" s="11">
        <v>3.47E-3</v>
      </c>
    </row>
    <row r="50" spans="1:7" x14ac:dyDescent="0.3">
      <c r="A50" s="162"/>
      <c r="B50" s="158"/>
      <c r="C50" s="7" t="s">
        <v>146</v>
      </c>
      <c r="D50" s="7" t="s">
        <v>123</v>
      </c>
      <c r="E50" s="11">
        <v>5.1000000000000004E-3</v>
      </c>
    </row>
    <row r="51" spans="1:7" x14ac:dyDescent="0.3">
      <c r="A51" s="162"/>
      <c r="B51" s="158"/>
      <c r="C51" s="7" t="s">
        <v>140</v>
      </c>
      <c r="D51" s="7" t="s">
        <v>123</v>
      </c>
      <c r="E51" s="11">
        <v>2.3400000000000001E-3</v>
      </c>
    </row>
    <row r="52" spans="1:7" x14ac:dyDescent="0.3">
      <c r="A52" s="162"/>
      <c r="B52" s="158" t="str">
        <f>G37</f>
        <v>LNG Tanker</v>
      </c>
      <c r="C52" s="7" t="s">
        <v>150</v>
      </c>
      <c r="D52" s="7" t="s">
        <v>123</v>
      </c>
      <c r="E52" s="11">
        <v>2.14E-3</v>
      </c>
    </row>
    <row r="53" spans="1:7" x14ac:dyDescent="0.3">
      <c r="A53" s="162"/>
      <c r="B53" s="158"/>
      <c r="C53" s="7" t="s">
        <v>151</v>
      </c>
      <c r="D53" s="7" t="s">
        <v>123</v>
      </c>
      <c r="E53" s="11">
        <v>3.3300000000000001E-3</v>
      </c>
    </row>
    <row r="54" spans="1:7" x14ac:dyDescent="0.3">
      <c r="A54" s="162"/>
      <c r="B54" s="158"/>
      <c r="C54" s="7" t="s">
        <v>140</v>
      </c>
      <c r="D54" s="7" t="s">
        <v>123</v>
      </c>
      <c r="E54" s="11">
        <v>2.6199999999999999E-3</v>
      </c>
    </row>
    <row r="55" spans="1:7" x14ac:dyDescent="0.3">
      <c r="A55" s="162"/>
      <c r="B55" s="158" t="str">
        <f>G38</f>
        <v>LPG Tanker</v>
      </c>
      <c r="C55" s="7" t="s">
        <v>153</v>
      </c>
      <c r="D55" s="7" t="s">
        <v>123</v>
      </c>
      <c r="E55" s="11">
        <v>2.0699999999999998E-3</v>
      </c>
    </row>
    <row r="56" spans="1:7" x14ac:dyDescent="0.3">
      <c r="A56" s="162"/>
      <c r="B56" s="158"/>
      <c r="C56" s="7" t="s">
        <v>154</v>
      </c>
      <c r="D56" s="7" t="s">
        <v>123</v>
      </c>
      <c r="E56" s="11">
        <v>9.9900000000000006E-3</v>
      </c>
    </row>
    <row r="57" spans="1:7" ht="15" thickBot="1" x14ac:dyDescent="0.35">
      <c r="A57" s="163"/>
      <c r="B57" s="159"/>
      <c r="C57" s="13" t="s">
        <v>140</v>
      </c>
      <c r="D57" s="13" t="s">
        <v>123</v>
      </c>
      <c r="E57" s="14">
        <v>2.3500000000000001E-3</v>
      </c>
    </row>
    <row r="58" spans="1:7" ht="15" thickBot="1" x14ac:dyDescent="0.35">
      <c r="E58" s="5"/>
    </row>
    <row r="59" spans="1:7" x14ac:dyDescent="0.3">
      <c r="A59" s="167" t="s">
        <v>155</v>
      </c>
      <c r="B59" s="160" t="s">
        <v>156</v>
      </c>
      <c r="C59" s="106" t="s">
        <v>134</v>
      </c>
      <c r="D59" s="106" t="s">
        <v>123</v>
      </c>
      <c r="E59" s="107">
        <v>5.6999999999999998E-4</v>
      </c>
      <c r="G59" s="100" t="s">
        <v>155</v>
      </c>
    </row>
    <row r="60" spans="1:7" x14ac:dyDescent="0.3">
      <c r="A60" s="168"/>
      <c r="B60" s="155"/>
      <c r="C60" s="7" t="s">
        <v>157</v>
      </c>
      <c r="D60" s="7" t="s">
        <v>123</v>
      </c>
      <c r="E60" s="108">
        <v>6.8999999999999997E-4</v>
      </c>
      <c r="F60" s="149" t="s">
        <v>189</v>
      </c>
      <c r="G60" s="104" t="s">
        <v>186</v>
      </c>
    </row>
    <row r="61" spans="1:7" x14ac:dyDescent="0.3">
      <c r="A61" s="168"/>
      <c r="B61" s="155"/>
      <c r="C61" s="7" t="s">
        <v>158</v>
      </c>
      <c r="D61" s="7" t="s">
        <v>123</v>
      </c>
      <c r="E61" s="108">
        <v>9.3999999999999997E-4</v>
      </c>
      <c r="G61" s="5" t="s">
        <v>193</v>
      </c>
    </row>
    <row r="62" spans="1:7" x14ac:dyDescent="0.3">
      <c r="A62" s="168"/>
      <c r="B62" s="155"/>
      <c r="C62" s="7" t="s">
        <v>159</v>
      </c>
      <c r="D62" s="7" t="s">
        <v>123</v>
      </c>
      <c r="E62" s="108">
        <v>1.31E-3</v>
      </c>
      <c r="G62" s="5" t="s">
        <v>194</v>
      </c>
    </row>
    <row r="63" spans="1:7" x14ac:dyDescent="0.3">
      <c r="A63" s="168"/>
      <c r="B63" s="155"/>
      <c r="C63" s="7" t="s">
        <v>160</v>
      </c>
      <c r="D63" s="7" t="s">
        <v>123</v>
      </c>
      <c r="E63" s="108">
        <v>1.81E-3</v>
      </c>
      <c r="G63" s="5" t="s">
        <v>195</v>
      </c>
    </row>
    <row r="64" spans="1:7" x14ac:dyDescent="0.3">
      <c r="A64" s="168"/>
      <c r="B64" s="155"/>
      <c r="C64" s="7" t="s">
        <v>139</v>
      </c>
      <c r="D64" s="7" t="s">
        <v>123</v>
      </c>
      <c r="E64" s="108">
        <v>6.7000000000000002E-3</v>
      </c>
      <c r="G64" s="5" t="s">
        <v>176</v>
      </c>
    </row>
    <row r="65" spans="1:7" x14ac:dyDescent="0.3">
      <c r="A65" s="168"/>
      <c r="B65" s="155"/>
      <c r="C65" s="7" t="s">
        <v>140</v>
      </c>
      <c r="D65" s="7" t="s">
        <v>123</v>
      </c>
      <c r="E65" s="108">
        <v>8.0000000000000004E-4</v>
      </c>
      <c r="G65" s="5"/>
    </row>
    <row r="66" spans="1:7" x14ac:dyDescent="0.3">
      <c r="A66" s="168"/>
      <c r="B66" s="155" t="str">
        <f>G61</f>
        <v>General Cargo</v>
      </c>
      <c r="C66" s="7" t="s">
        <v>162</v>
      </c>
      <c r="D66" s="7" t="s">
        <v>123</v>
      </c>
      <c r="E66" s="108">
        <v>2.7299999999999998E-3</v>
      </c>
      <c r="G66" s="5"/>
    </row>
    <row r="67" spans="1:7" x14ac:dyDescent="0.3">
      <c r="A67" s="168"/>
      <c r="B67" s="155"/>
      <c r="C67" s="7" t="s">
        <v>145</v>
      </c>
      <c r="D67" s="7" t="s">
        <v>123</v>
      </c>
      <c r="E67" s="108">
        <v>3.63E-3</v>
      </c>
    </row>
    <row r="68" spans="1:7" x14ac:dyDescent="0.3">
      <c r="A68" s="168"/>
      <c r="B68" s="155"/>
      <c r="C68" s="7" t="s">
        <v>146</v>
      </c>
      <c r="D68" s="7" t="s">
        <v>123</v>
      </c>
      <c r="E68" s="108">
        <v>3.1900000000000001E-3</v>
      </c>
    </row>
    <row r="69" spans="1:7" x14ac:dyDescent="0.3">
      <c r="A69" s="168"/>
      <c r="B69" s="155"/>
      <c r="C69" s="7" t="s">
        <v>163</v>
      </c>
      <c r="D69" s="7" t="s">
        <v>123</v>
      </c>
      <c r="E69" s="108">
        <v>2.5300000000000001E-3</v>
      </c>
    </row>
    <row r="70" spans="1:7" x14ac:dyDescent="0.3">
      <c r="A70" s="168"/>
      <c r="B70" s="155"/>
      <c r="C70" s="7" t="s">
        <v>164</v>
      </c>
      <c r="D70" s="7" t="s">
        <v>123</v>
      </c>
      <c r="E70" s="108">
        <v>4.0200000000000001E-3</v>
      </c>
    </row>
    <row r="71" spans="1:7" x14ac:dyDescent="0.3">
      <c r="A71" s="168"/>
      <c r="B71" s="155"/>
      <c r="C71" s="7" t="s">
        <v>165</v>
      </c>
      <c r="D71" s="7" t="s">
        <v>123</v>
      </c>
      <c r="E71" s="108">
        <v>4.5500000000000002E-3</v>
      </c>
    </row>
    <row r="72" spans="1:7" x14ac:dyDescent="0.3">
      <c r="A72" s="168"/>
      <c r="B72" s="155"/>
      <c r="C72" s="7" t="s">
        <v>140</v>
      </c>
      <c r="D72" s="7" t="s">
        <v>123</v>
      </c>
      <c r="E72" s="108">
        <v>3.0000000000000001E-3</v>
      </c>
    </row>
    <row r="73" spans="1:7" x14ac:dyDescent="0.3">
      <c r="A73" s="168"/>
      <c r="B73" s="155" t="str">
        <f>G62</f>
        <v>Container Ship</v>
      </c>
      <c r="C73" s="7" t="s">
        <v>167</v>
      </c>
      <c r="D73" s="7" t="s">
        <v>123</v>
      </c>
      <c r="E73" s="108">
        <v>2.8700000000000002E-3</v>
      </c>
    </row>
    <row r="74" spans="1:7" x14ac:dyDescent="0.3">
      <c r="A74" s="168"/>
      <c r="B74" s="155"/>
      <c r="C74" s="7" t="s">
        <v>168</v>
      </c>
      <c r="D74" s="7" t="s">
        <v>123</v>
      </c>
      <c r="E74" s="108">
        <v>3.81E-3</v>
      </c>
    </row>
    <row r="75" spans="1:7" x14ac:dyDescent="0.3">
      <c r="A75" s="168"/>
      <c r="B75" s="155"/>
      <c r="C75" s="7" t="s">
        <v>169</v>
      </c>
      <c r="D75" s="7" t="s">
        <v>123</v>
      </c>
      <c r="E75" s="108">
        <v>3.81E-3</v>
      </c>
    </row>
    <row r="76" spans="1:7" x14ac:dyDescent="0.3">
      <c r="A76" s="168"/>
      <c r="B76" s="155"/>
      <c r="C76" s="7" t="s">
        <v>170</v>
      </c>
      <c r="D76" s="7" t="s">
        <v>123</v>
      </c>
      <c r="E76" s="108">
        <v>4.5900000000000003E-3</v>
      </c>
    </row>
    <row r="77" spans="1:7" x14ac:dyDescent="0.3">
      <c r="A77" s="168"/>
      <c r="B77" s="155"/>
      <c r="C77" s="7" t="s">
        <v>171</v>
      </c>
      <c r="D77" s="7" t="s">
        <v>123</v>
      </c>
      <c r="E77" s="108">
        <v>7.3699999999999998E-3</v>
      </c>
    </row>
    <row r="78" spans="1:7" x14ac:dyDescent="0.3">
      <c r="A78" s="168"/>
      <c r="B78" s="155"/>
      <c r="C78" s="7" t="s">
        <v>172</v>
      </c>
      <c r="D78" s="7" t="s">
        <v>123</v>
      </c>
      <c r="E78" s="108">
        <v>8.3300000000000006E-3</v>
      </c>
    </row>
    <row r="79" spans="1:7" x14ac:dyDescent="0.3">
      <c r="A79" s="168"/>
      <c r="B79" s="155"/>
      <c r="C79" s="7" t="s">
        <v>140</v>
      </c>
      <c r="D79" s="7" t="s">
        <v>123</v>
      </c>
      <c r="E79" s="108">
        <v>3.65E-3</v>
      </c>
    </row>
    <row r="80" spans="1:7" x14ac:dyDescent="0.3">
      <c r="A80" s="168"/>
      <c r="B80" s="155" t="str">
        <f>G63</f>
        <v>Vehicle Transport</v>
      </c>
      <c r="C80" s="7" t="s">
        <v>174</v>
      </c>
      <c r="D80" s="7" t="s">
        <v>123</v>
      </c>
      <c r="E80" s="108">
        <v>7.3499999999999998E-3</v>
      </c>
    </row>
    <row r="81" spans="1:5" x14ac:dyDescent="0.3">
      <c r="A81" s="168"/>
      <c r="B81" s="155"/>
      <c r="C81" s="7" t="s">
        <v>175</v>
      </c>
      <c r="D81" s="7" t="s">
        <v>123</v>
      </c>
      <c r="E81" s="108">
        <v>1.3220000000000001E-2</v>
      </c>
    </row>
    <row r="82" spans="1:5" x14ac:dyDescent="0.3">
      <c r="A82" s="168"/>
      <c r="B82" s="155"/>
      <c r="C82" s="7" t="s">
        <v>140</v>
      </c>
      <c r="D82" s="7" t="s">
        <v>123</v>
      </c>
      <c r="E82" s="108">
        <v>8.7299999999999999E-3</v>
      </c>
    </row>
    <row r="83" spans="1:5" x14ac:dyDescent="0.3">
      <c r="A83" s="168"/>
      <c r="B83" s="155" t="str">
        <f>G64</f>
        <v>RoRo-Ferry</v>
      </c>
      <c r="C83" s="7" t="s">
        <v>177</v>
      </c>
      <c r="D83" s="7" t="s">
        <v>123</v>
      </c>
      <c r="E83" s="108">
        <v>1.136E-2</v>
      </c>
    </row>
    <row r="84" spans="1:5" x14ac:dyDescent="0.3">
      <c r="A84" s="168"/>
      <c r="B84" s="155"/>
      <c r="C84" s="7" t="s">
        <v>178</v>
      </c>
      <c r="D84" s="7" t="s">
        <v>123</v>
      </c>
      <c r="E84" s="108">
        <v>1.384E-2</v>
      </c>
    </row>
    <row r="85" spans="1:5" ht="15" thickBot="1" x14ac:dyDescent="0.35">
      <c r="A85" s="169"/>
      <c r="B85" s="156"/>
      <c r="C85" s="109" t="s">
        <v>140</v>
      </c>
      <c r="D85" s="109" t="s">
        <v>123</v>
      </c>
      <c r="E85" s="110">
        <v>1.17E-2</v>
      </c>
    </row>
    <row r="86" spans="1:5" x14ac:dyDescent="0.3">
      <c r="A86" s="105"/>
      <c r="B86" s="19"/>
      <c r="C86" s="7"/>
      <c r="D86" s="7"/>
      <c r="E86" s="7"/>
    </row>
    <row r="87" spans="1:5" x14ac:dyDescent="0.3">
      <c r="A87" s="105"/>
      <c r="B87" s="19"/>
      <c r="C87" s="7"/>
      <c r="D87" s="7"/>
      <c r="E87" s="7"/>
    </row>
  </sheetData>
  <mergeCells count="34">
    <mergeCell ref="A17:A24"/>
    <mergeCell ref="A27:A29"/>
    <mergeCell ref="A34:A57"/>
    <mergeCell ref="A59:A85"/>
    <mergeCell ref="M1:Q1"/>
    <mergeCell ref="A8:A15"/>
    <mergeCell ref="A2:A5"/>
    <mergeCell ref="R1:V1"/>
    <mergeCell ref="W1:AA1"/>
    <mergeCell ref="B83:B85"/>
    <mergeCell ref="B34:B40"/>
    <mergeCell ref="B41:B46"/>
    <mergeCell ref="B47:B51"/>
    <mergeCell ref="B52:B54"/>
    <mergeCell ref="B55:B57"/>
    <mergeCell ref="B59:B65"/>
    <mergeCell ref="B66:B72"/>
    <mergeCell ref="B73:B79"/>
    <mergeCell ref="B80:B82"/>
    <mergeCell ref="AB1:AC1"/>
    <mergeCell ref="AD2:AE2"/>
    <mergeCell ref="AD1:AM1"/>
    <mergeCell ref="AF2:AG2"/>
    <mergeCell ref="AH2:AI2"/>
    <mergeCell ref="AJ2:AK2"/>
    <mergeCell ref="AL2:AM2"/>
    <mergeCell ref="AN1:BA1"/>
    <mergeCell ref="AN2:AO2"/>
    <mergeCell ref="AP2:AQ2"/>
    <mergeCell ref="AR2:AS2"/>
    <mergeCell ref="AT2:AU2"/>
    <mergeCell ref="AV2:AW2"/>
    <mergeCell ref="AX2:AY2"/>
    <mergeCell ref="AZ2:BA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8614-C864-4FFA-B94E-8181EA3138A6}">
  <dimension ref="A1:A8"/>
  <sheetViews>
    <sheetView workbookViewId="0">
      <selection activeCell="D7" sqref="D7"/>
    </sheetView>
  </sheetViews>
  <sheetFormatPr defaultRowHeight="14.4" x14ac:dyDescent="0.3"/>
  <cols>
    <col min="1" max="1" width="22.33203125" bestFit="1" customWidth="1"/>
  </cols>
  <sheetData>
    <row r="1" spans="1:1" x14ac:dyDescent="0.3">
      <c r="A1" s="150" t="s">
        <v>91</v>
      </c>
    </row>
    <row r="2" spans="1:1" x14ac:dyDescent="0.3">
      <c r="A2" s="5" t="s">
        <v>97</v>
      </c>
    </row>
    <row r="3" spans="1:1" x14ac:dyDescent="0.3">
      <c r="A3" s="5" t="s">
        <v>107</v>
      </c>
    </row>
    <row r="4" spans="1:1" x14ac:dyDescent="0.3">
      <c r="A4" s="5" t="s">
        <v>116</v>
      </c>
    </row>
    <row r="5" spans="1:1" x14ac:dyDescent="0.3">
      <c r="A5" s="5" t="s">
        <v>121</v>
      </c>
    </row>
    <row r="6" spans="1:1" x14ac:dyDescent="0.3">
      <c r="A6" s="5" t="s">
        <v>128</v>
      </c>
    </row>
    <row r="7" spans="1:1" x14ac:dyDescent="0.3">
      <c r="A7" s="5" t="s">
        <v>132</v>
      </c>
    </row>
    <row r="8" spans="1:1" x14ac:dyDescent="0.3">
      <c r="A8" s="5" t="s">
        <v>155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84A5-9A90-4D44-86DE-A8D719EB4875}">
  <dimension ref="A1:C37"/>
  <sheetViews>
    <sheetView zoomScale="70" zoomScaleNormal="70" workbookViewId="0">
      <selection activeCell="B4" sqref="B4"/>
    </sheetView>
  </sheetViews>
  <sheetFormatPr defaultRowHeight="14.4" x14ac:dyDescent="0.3"/>
  <cols>
    <col min="1" max="1" width="21.21875" bestFit="1" customWidth="1"/>
    <col min="2" max="2" width="21.77734375" bestFit="1" customWidth="1"/>
    <col min="3" max="3" width="32.88671875" bestFit="1" customWidth="1"/>
  </cols>
  <sheetData>
    <row r="1" spans="1:3" ht="28.8" x14ac:dyDescent="0.3">
      <c r="A1" s="112" t="s">
        <v>196</v>
      </c>
      <c r="B1" s="112" t="s">
        <v>197</v>
      </c>
      <c r="C1" s="113"/>
    </row>
    <row r="2" spans="1:3" x14ac:dyDescent="0.3">
      <c r="A2" s="121" t="s">
        <v>198</v>
      </c>
      <c r="B2" s="123">
        <v>2.1800000000000002</v>
      </c>
      <c r="C2" s="171"/>
    </row>
    <row r="3" spans="1:3" x14ac:dyDescent="0.3">
      <c r="A3" s="121" t="s">
        <v>199</v>
      </c>
      <c r="B3" s="123">
        <v>2.7</v>
      </c>
      <c r="C3" s="171"/>
    </row>
    <row r="4" spans="1:3" x14ac:dyDescent="0.3">
      <c r="A4" s="121" t="s">
        <v>200</v>
      </c>
      <c r="B4" s="123">
        <v>5.4</v>
      </c>
      <c r="C4" s="171"/>
    </row>
    <row r="5" spans="1:3" x14ac:dyDescent="0.3">
      <c r="A5" s="121" t="s">
        <v>201</v>
      </c>
      <c r="B5" s="123">
        <v>3.4</v>
      </c>
      <c r="C5" s="171"/>
    </row>
    <row r="6" spans="1:3" x14ac:dyDescent="0.3">
      <c r="A6" s="121" t="s">
        <v>202</v>
      </c>
      <c r="B6" s="123">
        <v>1.8</v>
      </c>
      <c r="C6" s="171"/>
    </row>
    <row r="7" spans="1:3" ht="43.2" x14ac:dyDescent="0.3">
      <c r="A7" s="121" t="s">
        <v>203</v>
      </c>
      <c r="B7" s="126">
        <v>2.52</v>
      </c>
      <c r="C7" s="171"/>
    </row>
    <row r="8" spans="1:3" x14ac:dyDescent="0.3">
      <c r="A8" s="122"/>
      <c r="B8" s="124"/>
      <c r="C8" s="171"/>
    </row>
    <row r="9" spans="1:3" x14ac:dyDescent="0.3">
      <c r="A9" s="121"/>
      <c r="B9" s="116"/>
      <c r="C9" s="171"/>
    </row>
    <row r="10" spans="1:3" x14ac:dyDescent="0.3">
      <c r="A10" s="125"/>
      <c r="B10" s="118"/>
      <c r="C10" s="171"/>
    </row>
    <row r="11" spans="1:3" x14ac:dyDescent="0.3">
      <c r="A11" s="125"/>
      <c r="B11" s="118"/>
      <c r="C11" s="171"/>
    </row>
    <row r="12" spans="1:3" x14ac:dyDescent="0.3">
      <c r="A12" s="125"/>
      <c r="B12" s="118"/>
      <c r="C12" s="171"/>
    </row>
    <row r="13" spans="1:3" x14ac:dyDescent="0.3">
      <c r="A13" s="125"/>
      <c r="B13" s="118"/>
      <c r="C13" s="171"/>
    </row>
    <row r="14" spans="1:3" x14ac:dyDescent="0.3">
      <c r="A14" s="122"/>
      <c r="B14" s="124"/>
      <c r="C14" s="171"/>
    </row>
    <row r="15" spans="1:3" x14ac:dyDescent="0.3">
      <c r="A15" s="121"/>
      <c r="B15" s="116"/>
      <c r="C15" s="171"/>
    </row>
    <row r="16" spans="1:3" x14ac:dyDescent="0.3">
      <c r="A16" s="125"/>
      <c r="B16" s="118"/>
      <c r="C16" s="171"/>
    </row>
    <row r="17" spans="1:3" x14ac:dyDescent="0.3">
      <c r="A17" s="125"/>
      <c r="B17" s="118"/>
      <c r="C17" s="171"/>
    </row>
    <row r="18" spans="1:3" x14ac:dyDescent="0.3">
      <c r="A18" s="125"/>
      <c r="B18" s="118"/>
      <c r="C18" s="171"/>
    </row>
    <row r="19" spans="1:3" x14ac:dyDescent="0.3">
      <c r="A19" s="125"/>
      <c r="B19" s="118"/>
      <c r="C19" s="171"/>
    </row>
    <row r="20" spans="1:3" x14ac:dyDescent="0.3">
      <c r="A20" s="125"/>
      <c r="B20" s="118"/>
      <c r="C20" s="171"/>
    </row>
    <row r="21" spans="1:3" x14ac:dyDescent="0.3">
      <c r="A21" s="125"/>
      <c r="B21" s="118"/>
      <c r="C21" s="171"/>
    </row>
    <row r="22" spans="1:3" x14ac:dyDescent="0.3">
      <c r="A22" s="122"/>
      <c r="B22" s="124"/>
      <c r="C22" s="171"/>
    </row>
    <row r="23" spans="1:3" ht="14.25" customHeight="1" x14ac:dyDescent="0.3">
      <c r="A23" s="121"/>
      <c r="B23" s="116"/>
      <c r="C23" s="172"/>
    </row>
    <row r="24" spans="1:3" x14ac:dyDescent="0.3">
      <c r="A24" s="125"/>
      <c r="B24" s="118"/>
      <c r="C24" s="172"/>
    </row>
    <row r="25" spans="1:3" x14ac:dyDescent="0.3">
      <c r="A25" s="125"/>
      <c r="B25" s="118"/>
      <c r="C25" s="172"/>
    </row>
    <row r="26" spans="1:3" x14ac:dyDescent="0.3">
      <c r="A26" s="125"/>
      <c r="B26" s="118"/>
      <c r="C26" s="172"/>
    </row>
    <row r="27" spans="1:3" x14ac:dyDescent="0.3">
      <c r="A27" s="125"/>
      <c r="B27" s="118"/>
      <c r="C27" s="172"/>
    </row>
    <row r="28" spans="1:3" x14ac:dyDescent="0.3">
      <c r="A28" s="122"/>
      <c r="B28" s="124"/>
      <c r="C28" s="172"/>
    </row>
    <row r="29" spans="1:3" ht="28.5" customHeight="1" x14ac:dyDescent="0.3">
      <c r="A29" s="121"/>
      <c r="B29" s="142"/>
      <c r="C29" s="170"/>
    </row>
    <row r="30" spans="1:3" x14ac:dyDescent="0.3">
      <c r="A30" s="125"/>
      <c r="B30" s="143"/>
      <c r="C30" s="170"/>
    </row>
    <row r="31" spans="1:3" x14ac:dyDescent="0.3">
      <c r="A31" s="125"/>
      <c r="B31" s="143"/>
      <c r="C31" s="170"/>
    </row>
    <row r="32" spans="1:3" x14ac:dyDescent="0.3">
      <c r="A32" s="125"/>
      <c r="B32" s="143"/>
      <c r="C32" s="170"/>
    </row>
    <row r="33" spans="1:3" x14ac:dyDescent="0.3">
      <c r="A33" s="122"/>
      <c r="B33" s="144"/>
      <c r="C33" s="170"/>
    </row>
    <row r="34" spans="1:3" x14ac:dyDescent="0.3">
      <c r="A34" s="113"/>
      <c r="B34" s="113"/>
      <c r="C34" s="113"/>
    </row>
    <row r="35" spans="1:3" x14ac:dyDescent="0.3">
      <c r="A35" s="113"/>
      <c r="B35" s="113"/>
      <c r="C35" s="113"/>
    </row>
    <row r="36" spans="1:3" x14ac:dyDescent="0.3">
      <c r="A36" s="113"/>
      <c r="B36" s="113"/>
      <c r="C36" s="113"/>
    </row>
    <row r="37" spans="1:3" x14ac:dyDescent="0.3">
      <c r="A37" s="113"/>
      <c r="B37" s="113"/>
      <c r="C37" s="114"/>
    </row>
  </sheetData>
  <mergeCells count="6">
    <mergeCell ref="C29:C33"/>
    <mergeCell ref="C2:C3"/>
    <mergeCell ref="C4:C8"/>
    <mergeCell ref="C9:C14"/>
    <mergeCell ref="C15:C22"/>
    <mergeCell ref="C23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BB6E-A337-41B0-A2B4-17393D0FD977}">
  <dimension ref="A1:I20"/>
  <sheetViews>
    <sheetView zoomScale="85" zoomScaleNormal="85" workbookViewId="0">
      <selection activeCell="J32" sqref="J32"/>
    </sheetView>
  </sheetViews>
  <sheetFormatPr defaultRowHeight="14.4" x14ac:dyDescent="0.3"/>
  <cols>
    <col min="1" max="1" width="18" bestFit="1" customWidth="1"/>
    <col min="2" max="2" width="14.21875" bestFit="1" customWidth="1"/>
    <col min="3" max="3" width="2.88671875" bestFit="1" customWidth="1"/>
  </cols>
  <sheetData>
    <row r="1" spans="1:9" ht="28.8" x14ac:dyDescent="0.3">
      <c r="A1" s="112" t="s">
        <v>204</v>
      </c>
      <c r="B1" s="112" t="s">
        <v>236</v>
      </c>
      <c r="C1" s="119"/>
      <c r="D1" s="119"/>
      <c r="E1" s="119"/>
      <c r="F1" s="119"/>
      <c r="G1" s="119"/>
      <c r="H1" s="119"/>
      <c r="I1" s="119"/>
    </row>
    <row r="2" spans="1:9" x14ac:dyDescent="0.3">
      <c r="A2" s="145" t="s">
        <v>205</v>
      </c>
      <c r="B2" s="123">
        <v>0.25600000000000001</v>
      </c>
      <c r="C2" s="174"/>
      <c r="D2" s="174"/>
      <c r="E2" s="177"/>
      <c r="F2" s="177"/>
      <c r="G2" s="177"/>
      <c r="H2" s="177"/>
      <c r="I2" s="173"/>
    </row>
    <row r="3" spans="1:9" x14ac:dyDescent="0.3">
      <c r="A3" s="111" t="s">
        <v>220</v>
      </c>
      <c r="B3" s="111">
        <v>0.36099999999999999</v>
      </c>
      <c r="C3" s="175"/>
      <c r="D3" s="175"/>
      <c r="E3" s="178"/>
      <c r="F3" s="178"/>
      <c r="G3" s="178"/>
      <c r="H3" s="178"/>
      <c r="I3" s="173"/>
    </row>
    <row r="4" spans="1:9" ht="14.25" customHeight="1" x14ac:dyDescent="0.3">
      <c r="A4" s="146"/>
      <c r="B4" s="118"/>
      <c r="C4" s="175"/>
      <c r="D4" s="175"/>
      <c r="E4" s="178"/>
      <c r="F4" s="178"/>
      <c r="G4" s="178"/>
      <c r="H4" s="178"/>
      <c r="I4" s="173"/>
    </row>
    <row r="5" spans="1:9" ht="14.25" customHeight="1" x14ac:dyDescent="0.3">
      <c r="A5" s="146"/>
      <c r="B5" s="118"/>
      <c r="C5" s="175"/>
      <c r="D5" s="175"/>
      <c r="E5" s="178"/>
      <c r="F5" s="178"/>
      <c r="G5" s="178"/>
      <c r="H5" s="178"/>
      <c r="I5" s="173"/>
    </row>
    <row r="6" spans="1:9" ht="14.25" customHeight="1" x14ac:dyDescent="0.3">
      <c r="A6" s="146"/>
      <c r="B6" s="118"/>
      <c r="C6" s="175"/>
      <c r="D6" s="175"/>
      <c r="E6" s="178"/>
      <c r="F6" s="178"/>
      <c r="G6" s="178"/>
      <c r="H6" s="178"/>
      <c r="I6" s="173"/>
    </row>
    <row r="7" spans="1:9" ht="14.25" customHeight="1" x14ac:dyDescent="0.3">
      <c r="A7" s="146"/>
      <c r="B7" s="118"/>
      <c r="C7" s="175"/>
      <c r="D7" s="175"/>
      <c r="E7" s="178"/>
      <c r="F7" s="178"/>
      <c r="G7" s="178"/>
      <c r="H7" s="178"/>
      <c r="I7" s="173"/>
    </row>
    <row r="8" spans="1:9" ht="14.25" customHeight="1" x14ac:dyDescent="0.3">
      <c r="A8" s="146"/>
      <c r="B8" s="118"/>
      <c r="C8" s="175"/>
      <c r="D8" s="175"/>
      <c r="E8" s="178"/>
      <c r="F8" s="178"/>
      <c r="G8" s="178"/>
      <c r="H8" s="178"/>
      <c r="I8" s="173"/>
    </row>
    <row r="9" spans="1:9" ht="14.25" customHeight="1" x14ac:dyDescent="0.3">
      <c r="A9" s="147"/>
      <c r="B9" s="124"/>
      <c r="C9" s="176"/>
      <c r="D9" s="176"/>
      <c r="E9" s="179"/>
      <c r="F9" s="179"/>
      <c r="G9" s="179"/>
      <c r="H9" s="179"/>
      <c r="I9" s="173"/>
    </row>
    <row r="10" spans="1:9" x14ac:dyDescent="0.3">
      <c r="A10" s="111"/>
      <c r="B10" s="111"/>
      <c r="C10" s="120"/>
      <c r="D10" s="119"/>
      <c r="E10" s="119"/>
      <c r="F10" s="119"/>
      <c r="G10" s="119"/>
      <c r="H10" s="119"/>
      <c r="I10" s="119"/>
    </row>
    <row r="11" spans="1:9" x14ac:dyDescent="0.3">
      <c r="A11" s="111"/>
      <c r="B11" s="111"/>
      <c r="C11" s="127"/>
      <c r="D11" s="127"/>
      <c r="E11" s="119"/>
      <c r="F11" s="119"/>
      <c r="G11" s="119"/>
      <c r="H11" s="119"/>
      <c r="I11" s="119"/>
    </row>
    <row r="12" spans="1:9" x14ac:dyDescent="0.3">
      <c r="A12" s="112"/>
      <c r="B12" s="111"/>
      <c r="C12" s="119"/>
      <c r="D12" s="119"/>
      <c r="E12" s="119"/>
      <c r="F12" s="119"/>
      <c r="G12" s="119"/>
      <c r="H12" s="119"/>
      <c r="I12" s="119"/>
    </row>
    <row r="13" spans="1:9" x14ac:dyDescent="0.3">
      <c r="A13" s="111"/>
      <c r="B13" s="111"/>
      <c r="C13" s="119"/>
      <c r="D13" s="119"/>
      <c r="E13" s="119"/>
      <c r="F13" s="119"/>
      <c r="G13" s="119"/>
      <c r="H13" s="119"/>
      <c r="I13" s="119"/>
    </row>
    <row r="14" spans="1:9" x14ac:dyDescent="0.3">
      <c r="A14" s="111"/>
      <c r="B14" s="111"/>
      <c r="C14" s="128"/>
      <c r="D14" s="129"/>
      <c r="E14" s="119"/>
      <c r="F14" s="119"/>
      <c r="G14" s="119"/>
      <c r="H14" s="119"/>
      <c r="I14" s="119"/>
    </row>
    <row r="15" spans="1:9" x14ac:dyDescent="0.3">
      <c r="A15" s="112"/>
      <c r="B15" s="111"/>
      <c r="C15" s="119"/>
      <c r="D15" s="119"/>
      <c r="E15" s="119"/>
      <c r="F15" s="119"/>
      <c r="G15" s="119"/>
      <c r="H15" s="119"/>
      <c r="I15" s="119"/>
    </row>
    <row r="16" spans="1:9" x14ac:dyDescent="0.3">
      <c r="A16" s="112"/>
      <c r="B16" s="111"/>
      <c r="C16" s="119" t="s">
        <v>206</v>
      </c>
      <c r="D16" s="119"/>
      <c r="E16" s="119"/>
      <c r="F16" s="119"/>
      <c r="G16" s="119"/>
      <c r="H16" s="119"/>
      <c r="I16" s="119"/>
    </row>
    <row r="17" spans="1:9" x14ac:dyDescent="0.3">
      <c r="A17" s="112"/>
      <c r="B17" s="111"/>
      <c r="C17" s="119"/>
      <c r="D17" s="119"/>
      <c r="E17" s="119"/>
      <c r="F17" s="119"/>
      <c r="G17" s="119"/>
      <c r="H17" s="119"/>
      <c r="I17" s="119"/>
    </row>
    <row r="18" spans="1:9" x14ac:dyDescent="0.3">
      <c r="A18" s="112"/>
      <c r="B18" s="111"/>
      <c r="C18" s="119"/>
      <c r="D18" s="119"/>
      <c r="E18" s="119"/>
      <c r="F18" s="119"/>
      <c r="G18" s="119"/>
      <c r="H18" s="119"/>
      <c r="I18" s="119"/>
    </row>
    <row r="19" spans="1:9" x14ac:dyDescent="0.3">
      <c r="A19" s="112"/>
      <c r="B19" s="111"/>
      <c r="C19" s="119"/>
      <c r="D19" s="119"/>
      <c r="E19" s="119"/>
      <c r="F19" s="119"/>
      <c r="G19" s="119"/>
      <c r="H19" s="119"/>
      <c r="I19" s="119"/>
    </row>
    <row r="20" spans="1:9" x14ac:dyDescent="0.3">
      <c r="A20" s="112"/>
      <c r="B20" s="111"/>
      <c r="C20" s="119"/>
      <c r="D20" s="119"/>
      <c r="E20" s="119"/>
      <c r="F20" s="119"/>
      <c r="G20" s="119"/>
      <c r="H20" s="119"/>
      <c r="I20" s="119"/>
    </row>
  </sheetData>
  <mergeCells count="7">
    <mergeCell ref="I2:I9"/>
    <mergeCell ref="C2:C9"/>
    <mergeCell ref="D2:D9"/>
    <mergeCell ref="E2:E9"/>
    <mergeCell ref="F2:F9"/>
    <mergeCell ref="G2:G9"/>
    <mergeCell ref="H2:H9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F364-998B-474D-A19B-22FEFE188380}">
  <dimension ref="A1:B15"/>
  <sheetViews>
    <sheetView workbookViewId="0">
      <selection activeCell="B2" sqref="B2"/>
    </sheetView>
  </sheetViews>
  <sheetFormatPr defaultRowHeight="14.4" x14ac:dyDescent="0.3"/>
  <cols>
    <col min="1" max="1" width="23.21875" bestFit="1" customWidth="1"/>
    <col min="2" max="2" width="14.33203125" customWidth="1"/>
  </cols>
  <sheetData>
    <row r="1" spans="1:2" ht="28.8" x14ac:dyDescent="0.3">
      <c r="A1" s="142" t="s">
        <v>221</v>
      </c>
      <c r="B1" s="123" t="s">
        <v>235</v>
      </c>
    </row>
    <row r="2" spans="1:2" ht="16.8" x14ac:dyDescent="0.3">
      <c r="A2" s="127" t="s">
        <v>222</v>
      </c>
      <c r="B2" s="148">
        <v>7</v>
      </c>
    </row>
    <row r="3" spans="1:2" x14ac:dyDescent="0.3">
      <c r="A3" s="127" t="s">
        <v>223</v>
      </c>
      <c r="B3" s="127">
        <v>2.88</v>
      </c>
    </row>
    <row r="4" spans="1:2" x14ac:dyDescent="0.3">
      <c r="A4" s="127" t="s">
        <v>224</v>
      </c>
      <c r="B4" s="127">
        <v>2.5059999999999998</v>
      </c>
    </row>
    <row r="5" spans="1:2" x14ac:dyDescent="0.3">
      <c r="A5" s="127" t="s">
        <v>225</v>
      </c>
      <c r="B5" s="127">
        <v>2.9</v>
      </c>
    </row>
    <row r="6" spans="1:2" x14ac:dyDescent="0.3">
      <c r="A6" s="127" t="s">
        <v>226</v>
      </c>
      <c r="B6" s="127">
        <v>3.198</v>
      </c>
    </row>
    <row r="7" spans="1:2" x14ac:dyDescent="0.3">
      <c r="A7" s="127" t="s">
        <v>227</v>
      </c>
      <c r="B7" s="127">
        <v>1.95</v>
      </c>
    </row>
    <row r="8" spans="1:2" x14ac:dyDescent="0.3">
      <c r="A8" s="127" t="s">
        <v>228</v>
      </c>
      <c r="B8" s="127">
        <v>7.83</v>
      </c>
    </row>
    <row r="9" spans="1:2" x14ac:dyDescent="0.3">
      <c r="A9" s="127" t="s">
        <v>205</v>
      </c>
      <c r="B9" s="127">
        <v>16</v>
      </c>
    </row>
    <row r="10" spans="1:2" x14ac:dyDescent="0.3">
      <c r="A10" s="127" t="s">
        <v>220</v>
      </c>
      <c r="B10" s="127">
        <v>1.85</v>
      </c>
    </row>
    <row r="11" spans="1:2" x14ac:dyDescent="0.3">
      <c r="A11" s="127" t="s">
        <v>229</v>
      </c>
      <c r="B11" s="127">
        <v>0.12</v>
      </c>
    </row>
    <row r="12" spans="1:2" x14ac:dyDescent="0.3">
      <c r="A12" s="127" t="s">
        <v>230</v>
      </c>
      <c r="B12" s="127">
        <v>0.27</v>
      </c>
    </row>
    <row r="13" spans="1:2" x14ac:dyDescent="0.3">
      <c r="A13" s="127" t="s">
        <v>231</v>
      </c>
      <c r="B13" s="127">
        <v>0.46</v>
      </c>
    </row>
    <row r="14" spans="1:2" x14ac:dyDescent="0.3">
      <c r="A14" s="127" t="s">
        <v>232</v>
      </c>
      <c r="B14" s="127">
        <v>0.8</v>
      </c>
    </row>
    <row r="15" spans="1:2" x14ac:dyDescent="0.3">
      <c r="A15" s="127" t="s">
        <v>233</v>
      </c>
      <c r="B15" s="127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D3FB-F912-42B3-B605-31DC335FC9DA}">
  <dimension ref="A1:L258"/>
  <sheetViews>
    <sheetView workbookViewId="0">
      <selection activeCell="C71" sqref="C71"/>
    </sheetView>
  </sheetViews>
  <sheetFormatPr defaultRowHeight="14.4" x14ac:dyDescent="0.3"/>
  <cols>
    <col min="2" max="2" width="8.88671875" bestFit="1" customWidth="1"/>
    <col min="8" max="8" width="97" bestFit="1" customWidth="1"/>
  </cols>
  <sheetData>
    <row r="1" spans="1:12" ht="66.599999999999994" x14ac:dyDescent="0.3">
      <c r="A1" s="130" t="s">
        <v>0</v>
      </c>
      <c r="B1" s="131" t="s">
        <v>207</v>
      </c>
      <c r="C1" s="132"/>
      <c r="D1" s="132"/>
      <c r="E1" s="132"/>
      <c r="F1" s="132"/>
      <c r="G1" s="132"/>
      <c r="H1" s="133" t="s">
        <v>208</v>
      </c>
      <c r="I1" s="134"/>
      <c r="J1" s="134"/>
      <c r="K1" s="113"/>
      <c r="L1" s="113"/>
    </row>
    <row r="2" spans="1:12" ht="28.8" x14ac:dyDescent="0.3">
      <c r="A2" s="135" t="s">
        <v>8</v>
      </c>
      <c r="B2" s="111">
        <v>0.63</v>
      </c>
      <c r="C2" s="136"/>
      <c r="D2" s="136"/>
      <c r="E2" s="136"/>
      <c r="F2" s="136"/>
      <c r="G2" s="136"/>
      <c r="H2" s="137" t="s">
        <v>209</v>
      </c>
      <c r="I2" s="134"/>
      <c r="J2" s="134"/>
      <c r="K2" s="113"/>
      <c r="L2" s="113"/>
    </row>
    <row r="3" spans="1:12" x14ac:dyDescent="0.3">
      <c r="A3" s="135" t="s">
        <v>9</v>
      </c>
      <c r="B3" s="111">
        <v>0.04</v>
      </c>
      <c r="C3" s="136"/>
      <c r="D3" s="136"/>
      <c r="E3" s="136"/>
      <c r="F3" s="136"/>
      <c r="G3" s="136"/>
      <c r="H3" s="114" t="s">
        <v>210</v>
      </c>
      <c r="I3" s="134"/>
      <c r="J3" s="134"/>
      <c r="K3" s="113"/>
      <c r="L3" s="113"/>
    </row>
    <row r="4" spans="1:12" x14ac:dyDescent="0.3">
      <c r="A4" s="135" t="s">
        <v>10</v>
      </c>
      <c r="B4" s="111">
        <v>0.33</v>
      </c>
      <c r="C4" s="136"/>
      <c r="D4" s="136"/>
      <c r="E4" s="136"/>
      <c r="F4" s="136"/>
      <c r="G4" s="136"/>
      <c r="H4" s="138" t="s">
        <v>211</v>
      </c>
      <c r="I4" s="134"/>
      <c r="J4" s="134"/>
      <c r="K4" s="113"/>
      <c r="L4" s="113"/>
    </row>
    <row r="5" spans="1:12" x14ac:dyDescent="0.3">
      <c r="A5" s="135" t="s">
        <v>11</v>
      </c>
      <c r="B5" s="111">
        <v>0.11</v>
      </c>
      <c r="C5" s="136"/>
      <c r="D5" s="136"/>
      <c r="E5" s="136"/>
      <c r="F5" s="136"/>
      <c r="G5" s="136"/>
      <c r="H5" s="138" t="s">
        <v>212</v>
      </c>
      <c r="I5" s="134"/>
      <c r="J5" s="134"/>
      <c r="K5" s="113"/>
      <c r="L5" s="113"/>
    </row>
    <row r="6" spans="1:12" x14ac:dyDescent="0.3">
      <c r="A6" s="135" t="s">
        <v>12</v>
      </c>
      <c r="B6" s="111">
        <v>0.55000000000000004</v>
      </c>
      <c r="C6" s="136"/>
      <c r="D6" s="136"/>
      <c r="E6" s="136"/>
      <c r="F6" s="136"/>
      <c r="G6" s="136"/>
      <c r="H6" s="139" t="s">
        <v>213</v>
      </c>
      <c r="I6" s="134"/>
      <c r="J6" s="134"/>
      <c r="K6" s="113"/>
      <c r="L6" s="113"/>
    </row>
    <row r="7" spans="1:12" ht="27" x14ac:dyDescent="0.3">
      <c r="A7" s="135" t="s">
        <v>13</v>
      </c>
      <c r="B7" s="111">
        <v>0.62</v>
      </c>
      <c r="C7" s="136"/>
      <c r="D7" s="136"/>
      <c r="E7" s="136"/>
      <c r="F7" s="136"/>
      <c r="G7" s="136"/>
      <c r="H7" s="117" t="s">
        <v>214</v>
      </c>
      <c r="I7" s="113"/>
      <c r="J7" s="115"/>
      <c r="K7" s="113"/>
      <c r="L7" s="113"/>
    </row>
    <row r="8" spans="1:12" ht="27" x14ac:dyDescent="0.3">
      <c r="A8" s="135" t="s">
        <v>14</v>
      </c>
      <c r="B8" s="111">
        <v>0.69</v>
      </c>
      <c r="C8" s="136"/>
      <c r="D8" s="136"/>
      <c r="E8" s="136"/>
      <c r="F8" s="136"/>
      <c r="G8" s="136"/>
      <c r="H8" s="113"/>
      <c r="I8" s="113"/>
      <c r="J8" s="115"/>
      <c r="K8" s="113"/>
      <c r="L8" s="113"/>
    </row>
    <row r="9" spans="1:12" x14ac:dyDescent="0.3">
      <c r="A9" s="135" t="s">
        <v>15</v>
      </c>
      <c r="B9" s="111">
        <v>0.39</v>
      </c>
      <c r="C9" s="136"/>
      <c r="D9" s="136"/>
      <c r="E9" s="136"/>
      <c r="F9" s="136"/>
      <c r="G9" s="136"/>
      <c r="H9" s="113"/>
      <c r="I9" s="113"/>
      <c r="J9" s="115"/>
      <c r="K9" s="113"/>
      <c r="L9" s="113"/>
    </row>
    <row r="10" spans="1:12" x14ac:dyDescent="0.3">
      <c r="A10" s="135" t="s">
        <v>16</v>
      </c>
      <c r="B10" s="111">
        <v>0.14000000000000001</v>
      </c>
      <c r="C10" s="136"/>
      <c r="D10" s="136"/>
      <c r="E10" s="136"/>
      <c r="F10" s="136"/>
      <c r="G10" s="136"/>
      <c r="H10" s="140"/>
      <c r="I10" s="113"/>
      <c r="J10" s="115"/>
      <c r="K10" s="113"/>
      <c r="L10" s="113"/>
    </row>
    <row r="11" spans="1:12" x14ac:dyDescent="0.3">
      <c r="A11" s="135" t="s">
        <v>17</v>
      </c>
      <c r="B11" s="111">
        <v>0.56999999999999995</v>
      </c>
      <c r="C11" s="136"/>
      <c r="D11" s="136"/>
      <c r="E11" s="136"/>
      <c r="F11" s="136"/>
      <c r="G11" s="136"/>
      <c r="H11" s="113"/>
      <c r="I11" s="113"/>
      <c r="J11" s="115"/>
      <c r="K11" s="113"/>
      <c r="L11" s="113"/>
    </row>
    <row r="12" spans="1:12" x14ac:dyDescent="0.3">
      <c r="A12" s="135" t="s">
        <v>18</v>
      </c>
      <c r="B12" s="111">
        <v>0.08</v>
      </c>
      <c r="C12" s="136"/>
      <c r="D12" s="136"/>
      <c r="E12" s="136"/>
      <c r="F12" s="136"/>
      <c r="G12" s="136"/>
      <c r="H12" s="113"/>
      <c r="I12" s="113"/>
      <c r="J12" s="115"/>
      <c r="K12" s="113"/>
      <c r="L12" s="113"/>
    </row>
    <row r="13" spans="1:12" x14ac:dyDescent="0.3">
      <c r="A13" s="135" t="s">
        <v>19</v>
      </c>
      <c r="B13" s="111">
        <v>0.34</v>
      </c>
      <c r="C13" s="136"/>
      <c r="D13" s="136"/>
      <c r="E13" s="136"/>
      <c r="F13" s="136"/>
      <c r="G13" s="136"/>
      <c r="H13" s="113"/>
      <c r="I13" s="113"/>
      <c r="J13" s="115"/>
      <c r="K13" s="113"/>
      <c r="L13" s="113"/>
    </row>
    <row r="14" spans="1:12" x14ac:dyDescent="0.3">
      <c r="A14" s="135" t="s">
        <v>20</v>
      </c>
      <c r="B14" s="111">
        <v>0.12</v>
      </c>
      <c r="C14" s="136"/>
      <c r="D14" s="136"/>
      <c r="E14" s="136"/>
      <c r="F14" s="136"/>
      <c r="G14" s="136"/>
      <c r="H14" s="113"/>
      <c r="I14" s="113"/>
      <c r="J14" s="115"/>
      <c r="K14" s="113"/>
      <c r="L14" s="113"/>
    </row>
    <row r="15" spans="1:12" ht="27" x14ac:dyDescent="0.3">
      <c r="A15" s="135" t="s">
        <v>21</v>
      </c>
      <c r="B15" s="111">
        <v>0.44</v>
      </c>
      <c r="C15" s="136"/>
      <c r="D15" s="136"/>
      <c r="E15" s="136"/>
      <c r="F15" s="136"/>
      <c r="G15" s="136"/>
      <c r="H15" s="113"/>
      <c r="I15" s="113"/>
      <c r="J15" s="115"/>
      <c r="K15" s="113"/>
      <c r="L15" s="113"/>
    </row>
    <row r="16" spans="1:12" x14ac:dyDescent="0.3">
      <c r="A16" s="135" t="s">
        <v>22</v>
      </c>
      <c r="B16" s="111">
        <v>0.28999999999999998</v>
      </c>
      <c r="C16" s="136"/>
      <c r="D16" s="136"/>
      <c r="E16" s="136"/>
      <c r="F16" s="136"/>
      <c r="G16" s="136"/>
      <c r="H16" s="113"/>
      <c r="I16" s="113"/>
      <c r="J16" s="115"/>
      <c r="K16" s="113"/>
      <c r="L16" s="113"/>
    </row>
    <row r="17" spans="1:12" x14ac:dyDescent="0.3">
      <c r="A17" s="135" t="s">
        <v>23</v>
      </c>
      <c r="B17" s="111">
        <v>0.69</v>
      </c>
      <c r="C17" s="136"/>
      <c r="D17" s="136"/>
      <c r="E17" s="136"/>
      <c r="F17" s="136"/>
      <c r="G17" s="136"/>
      <c r="H17" s="113"/>
      <c r="I17" s="113"/>
      <c r="J17" s="115"/>
      <c r="K17" s="113"/>
      <c r="L17" s="113"/>
    </row>
    <row r="18" spans="1:12" x14ac:dyDescent="0.3">
      <c r="A18" s="135" t="s">
        <v>24</v>
      </c>
      <c r="B18" s="111">
        <v>0.42</v>
      </c>
      <c r="C18" s="136"/>
      <c r="D18" s="136"/>
      <c r="E18" s="136"/>
      <c r="F18" s="136"/>
      <c r="G18" s="136"/>
      <c r="H18" s="113"/>
      <c r="I18" s="113"/>
      <c r="J18" s="115"/>
      <c r="K18" s="113"/>
      <c r="L18" s="113"/>
    </row>
    <row r="19" spans="1:12" x14ac:dyDescent="0.3">
      <c r="A19" s="135" t="s">
        <v>25</v>
      </c>
      <c r="B19" s="111">
        <v>0.23</v>
      </c>
      <c r="C19" s="136"/>
      <c r="D19" s="136"/>
      <c r="E19" s="136"/>
      <c r="F19" s="136"/>
      <c r="G19" s="136"/>
      <c r="H19" s="113"/>
      <c r="I19" s="113"/>
      <c r="J19" s="115"/>
      <c r="K19" s="113"/>
      <c r="L19" s="113"/>
    </row>
    <row r="20" spans="1:12" x14ac:dyDescent="0.3">
      <c r="A20" s="135" t="s">
        <v>26</v>
      </c>
      <c r="B20" s="111">
        <v>0.47</v>
      </c>
      <c r="C20" s="136"/>
      <c r="D20" s="136"/>
      <c r="E20" s="136"/>
      <c r="F20" s="136"/>
      <c r="G20" s="136"/>
      <c r="H20" s="113"/>
      <c r="I20" s="113"/>
      <c r="J20" s="115"/>
      <c r="K20" s="113"/>
      <c r="L20" s="113"/>
    </row>
    <row r="21" spans="1:12" x14ac:dyDescent="0.3">
      <c r="A21" s="135" t="s">
        <v>27</v>
      </c>
      <c r="B21" s="111">
        <v>0.03</v>
      </c>
      <c r="C21" s="136"/>
      <c r="D21" s="136"/>
      <c r="E21" s="136"/>
      <c r="F21" s="136"/>
      <c r="G21" s="136"/>
      <c r="H21" s="113"/>
      <c r="I21" s="113"/>
      <c r="J21" s="115"/>
      <c r="K21" s="113"/>
      <c r="L21" s="113"/>
    </row>
    <row r="22" spans="1:12" x14ac:dyDescent="0.3">
      <c r="A22" s="135" t="s">
        <v>28</v>
      </c>
      <c r="B22" s="111">
        <v>0.05</v>
      </c>
      <c r="C22" s="136"/>
      <c r="D22" s="136"/>
      <c r="E22" s="136"/>
      <c r="F22" s="136"/>
      <c r="G22" s="136"/>
      <c r="H22" s="113"/>
      <c r="I22" s="113"/>
      <c r="J22" s="115"/>
      <c r="K22" s="113"/>
      <c r="L22" s="113"/>
    </row>
    <row r="23" spans="1:12" x14ac:dyDescent="0.3">
      <c r="A23" s="135" t="s">
        <v>29</v>
      </c>
      <c r="B23" s="111">
        <v>0.42</v>
      </c>
      <c r="C23" s="136"/>
      <c r="D23" s="136"/>
      <c r="E23" s="136"/>
      <c r="F23" s="136"/>
      <c r="G23" s="136"/>
      <c r="H23" s="113"/>
      <c r="I23" s="113"/>
      <c r="J23" s="115"/>
      <c r="K23" s="113"/>
      <c r="L23" s="113"/>
    </row>
    <row r="24" spans="1:12" x14ac:dyDescent="0.3">
      <c r="A24" s="135" t="s">
        <v>30</v>
      </c>
      <c r="B24" s="111">
        <v>0.48</v>
      </c>
      <c r="C24" s="136"/>
      <c r="D24" s="136"/>
      <c r="E24" s="136"/>
      <c r="F24" s="136"/>
      <c r="G24" s="136"/>
      <c r="H24" s="113"/>
      <c r="I24" s="113"/>
      <c r="J24" s="115"/>
      <c r="K24" s="113"/>
      <c r="L24" s="113"/>
    </row>
    <row r="25" spans="1:12" ht="27" x14ac:dyDescent="0.3">
      <c r="A25" s="135" t="s">
        <v>31</v>
      </c>
      <c r="B25" s="111">
        <v>0.31</v>
      </c>
      <c r="C25" s="136"/>
      <c r="D25" s="136"/>
      <c r="E25" s="136"/>
      <c r="F25" s="136"/>
      <c r="G25" s="136"/>
      <c r="H25" s="113"/>
      <c r="I25" s="113"/>
      <c r="J25" s="115"/>
      <c r="K25" s="113"/>
      <c r="L25" s="113"/>
    </row>
    <row r="26" spans="1:12" x14ac:dyDescent="0.3">
      <c r="A26" s="135" t="s">
        <v>32</v>
      </c>
      <c r="B26" s="111">
        <v>0.44</v>
      </c>
      <c r="C26" s="136"/>
      <c r="D26" s="136"/>
      <c r="E26" s="136"/>
      <c r="F26" s="136"/>
      <c r="G26" s="136"/>
      <c r="H26" s="113"/>
      <c r="I26" s="113"/>
      <c r="J26" s="115"/>
      <c r="K26" s="113"/>
      <c r="L26" s="113"/>
    </row>
    <row r="27" spans="1:12" x14ac:dyDescent="0.3">
      <c r="A27" s="135" t="s">
        <v>33</v>
      </c>
      <c r="B27" s="111">
        <v>0.39</v>
      </c>
      <c r="C27" s="136"/>
      <c r="D27" s="136"/>
      <c r="E27" s="136"/>
      <c r="F27" s="136"/>
      <c r="G27" s="136"/>
      <c r="H27" s="113"/>
      <c r="I27" s="113"/>
      <c r="J27" s="115"/>
      <c r="K27" s="113"/>
      <c r="L27" s="113"/>
    </row>
    <row r="28" spans="1:12" x14ac:dyDescent="0.3">
      <c r="A28" s="135" t="s">
        <v>34</v>
      </c>
      <c r="B28" s="111">
        <v>0.01</v>
      </c>
      <c r="C28" s="136"/>
      <c r="D28" s="136"/>
      <c r="E28" s="136"/>
      <c r="F28" s="136"/>
      <c r="G28" s="136"/>
      <c r="H28" s="113"/>
      <c r="I28" s="113"/>
      <c r="J28" s="115"/>
      <c r="K28" s="113"/>
      <c r="L28" s="113"/>
    </row>
    <row r="29" spans="1:12" x14ac:dyDescent="0.3">
      <c r="A29" s="135" t="s">
        <v>35</v>
      </c>
      <c r="B29" s="111">
        <v>0.63</v>
      </c>
      <c r="C29" s="136"/>
      <c r="D29" s="136"/>
      <c r="E29" s="136"/>
      <c r="F29" s="136"/>
      <c r="G29" s="136"/>
      <c r="H29" s="113"/>
      <c r="I29" s="113"/>
      <c r="J29" s="115"/>
      <c r="K29" s="113"/>
      <c r="L29" s="113"/>
    </row>
    <row r="30" spans="1:12" x14ac:dyDescent="0.3">
      <c r="A30" s="135" t="s">
        <v>36</v>
      </c>
      <c r="B30" s="111">
        <v>0.71</v>
      </c>
      <c r="C30" s="136"/>
      <c r="D30" s="136"/>
      <c r="E30" s="136"/>
      <c r="F30" s="136"/>
      <c r="G30" s="136"/>
      <c r="H30" s="113"/>
      <c r="I30" s="113"/>
      <c r="J30" s="115"/>
      <c r="K30" s="113"/>
      <c r="L30" s="113"/>
    </row>
    <row r="31" spans="1:12" x14ac:dyDescent="0.3">
      <c r="A31" s="135" t="s">
        <v>37</v>
      </c>
      <c r="B31" s="111">
        <v>0.61</v>
      </c>
      <c r="C31" s="136"/>
      <c r="D31" s="136"/>
      <c r="E31" s="136"/>
      <c r="F31" s="136"/>
      <c r="G31" s="136"/>
      <c r="H31" s="113"/>
      <c r="I31" s="113"/>
      <c r="J31" s="115"/>
      <c r="K31" s="113"/>
      <c r="L31" s="113"/>
    </row>
    <row r="32" spans="1:12" x14ac:dyDescent="0.3">
      <c r="A32" s="135" t="s">
        <v>215</v>
      </c>
      <c r="B32" s="111">
        <v>0.64</v>
      </c>
      <c r="C32" s="136"/>
      <c r="D32" s="136"/>
      <c r="E32" s="136"/>
      <c r="F32" s="136"/>
      <c r="G32" s="136"/>
      <c r="H32" s="113"/>
      <c r="I32" s="113"/>
      <c r="J32" s="115"/>
      <c r="K32" s="113"/>
      <c r="L32" s="113"/>
    </row>
    <row r="33" spans="1:12" x14ac:dyDescent="0.3">
      <c r="A33" s="135" t="s">
        <v>39</v>
      </c>
      <c r="B33" s="111">
        <v>0.3</v>
      </c>
      <c r="C33" s="136"/>
      <c r="D33" s="136"/>
      <c r="E33" s="136"/>
      <c r="F33" s="136"/>
      <c r="G33" s="136"/>
      <c r="H33" s="113"/>
      <c r="I33" s="113"/>
      <c r="J33" s="115"/>
      <c r="K33" s="113"/>
      <c r="L33" s="113"/>
    </row>
    <row r="34" spans="1:12" x14ac:dyDescent="0.3">
      <c r="A34" s="135" t="s">
        <v>40</v>
      </c>
      <c r="B34" s="111">
        <v>0.46</v>
      </c>
      <c r="C34" s="136"/>
      <c r="D34" s="136"/>
      <c r="E34" s="136"/>
      <c r="F34" s="136"/>
      <c r="G34" s="136"/>
      <c r="H34" s="113"/>
      <c r="I34" s="113"/>
      <c r="J34" s="115"/>
      <c r="K34" s="113"/>
      <c r="L34" s="113"/>
    </row>
    <row r="35" spans="1:12" x14ac:dyDescent="0.3">
      <c r="A35" s="135" t="s">
        <v>41</v>
      </c>
      <c r="B35" s="111">
        <v>0.25</v>
      </c>
      <c r="C35" s="136"/>
      <c r="D35" s="136"/>
      <c r="E35" s="136"/>
      <c r="F35" s="136"/>
      <c r="G35" s="136"/>
      <c r="H35" s="113"/>
      <c r="I35" s="113"/>
      <c r="J35" s="115"/>
      <c r="K35" s="113"/>
      <c r="L35" s="113"/>
    </row>
    <row r="36" spans="1:12" x14ac:dyDescent="0.3">
      <c r="A36" s="135" t="s">
        <v>42</v>
      </c>
      <c r="B36" s="111">
        <v>0.39</v>
      </c>
      <c r="C36" s="136"/>
      <c r="D36" s="136"/>
      <c r="E36" s="136"/>
      <c r="F36" s="136"/>
      <c r="G36" s="136"/>
      <c r="H36" s="113"/>
      <c r="I36" s="113"/>
      <c r="J36" s="115"/>
      <c r="K36" s="113"/>
      <c r="L36" s="113"/>
    </row>
    <row r="37" spans="1:12" x14ac:dyDescent="0.3">
      <c r="A37" s="135" t="s">
        <v>43</v>
      </c>
      <c r="B37" s="111">
        <v>0.67</v>
      </c>
      <c r="C37" s="136"/>
      <c r="D37" s="136"/>
      <c r="E37" s="136"/>
      <c r="F37" s="136"/>
      <c r="G37" s="136"/>
      <c r="H37" s="113"/>
      <c r="I37" s="113"/>
      <c r="J37" s="115"/>
      <c r="K37" s="113"/>
      <c r="L37" s="113"/>
    </row>
    <row r="38" spans="1:12" ht="27" x14ac:dyDescent="0.3">
      <c r="A38" s="135" t="s">
        <v>44</v>
      </c>
      <c r="B38" s="111">
        <v>0.71</v>
      </c>
      <c r="C38" s="136"/>
      <c r="D38" s="136"/>
      <c r="E38" s="136"/>
      <c r="F38" s="136"/>
      <c r="G38" s="136"/>
      <c r="H38" s="113"/>
      <c r="I38" s="113"/>
      <c r="J38" s="115"/>
      <c r="K38" s="113"/>
      <c r="L38" s="113"/>
    </row>
    <row r="39" spans="1:12" ht="27" x14ac:dyDescent="0.3">
      <c r="A39" s="135" t="s">
        <v>216</v>
      </c>
      <c r="B39" s="111">
        <v>0.12</v>
      </c>
      <c r="C39" s="136"/>
      <c r="D39" s="136"/>
      <c r="E39" s="136"/>
      <c r="F39" s="136"/>
      <c r="G39" s="136"/>
      <c r="H39" s="113"/>
      <c r="I39" s="113"/>
      <c r="J39" s="115"/>
      <c r="K39" s="113"/>
      <c r="L39" s="113"/>
    </row>
    <row r="40" spans="1:12" x14ac:dyDescent="0.3">
      <c r="A40" s="135" t="s">
        <v>46</v>
      </c>
      <c r="B40" s="111">
        <v>0.28000000000000003</v>
      </c>
      <c r="C40" s="136"/>
      <c r="D40" s="136"/>
      <c r="E40" s="136"/>
      <c r="F40" s="136"/>
      <c r="G40" s="136"/>
      <c r="H40" s="113"/>
      <c r="I40" s="113"/>
      <c r="J40" s="115"/>
      <c r="K40" s="113"/>
      <c r="L40" s="113"/>
    </row>
    <row r="41" spans="1:12" x14ac:dyDescent="0.3">
      <c r="A41" s="135" t="s">
        <v>47</v>
      </c>
      <c r="B41" s="111">
        <v>0.72</v>
      </c>
      <c r="C41" s="136"/>
      <c r="D41" s="136"/>
      <c r="E41" s="136"/>
      <c r="F41" s="136"/>
      <c r="G41" s="136"/>
      <c r="H41" s="113"/>
      <c r="I41" s="113"/>
      <c r="J41" s="115"/>
      <c r="K41" s="113"/>
      <c r="L41" s="113"/>
    </row>
    <row r="42" spans="1:12" x14ac:dyDescent="0.3">
      <c r="A42" s="135" t="s">
        <v>48</v>
      </c>
      <c r="B42" s="111">
        <v>0.64</v>
      </c>
      <c r="C42" s="136"/>
      <c r="D42" s="136"/>
      <c r="E42" s="136"/>
      <c r="F42" s="136"/>
      <c r="G42" s="136"/>
      <c r="H42" s="113"/>
      <c r="I42" s="113"/>
      <c r="J42" s="115"/>
      <c r="K42" s="113"/>
      <c r="L42" s="113"/>
    </row>
    <row r="43" spans="1:12" x14ac:dyDescent="0.3">
      <c r="A43" s="135" t="s">
        <v>49</v>
      </c>
      <c r="B43" s="111">
        <v>0.45</v>
      </c>
      <c r="C43" s="136"/>
      <c r="D43" s="136"/>
      <c r="E43" s="136"/>
      <c r="F43" s="136"/>
      <c r="G43" s="136"/>
      <c r="H43" s="113"/>
      <c r="I43" s="113"/>
      <c r="J43" s="115"/>
      <c r="K43" s="113"/>
      <c r="L43" s="113"/>
    </row>
    <row r="44" spans="1:12" x14ac:dyDescent="0.3">
      <c r="A44" s="135" t="s">
        <v>50</v>
      </c>
      <c r="B44" s="111">
        <v>0.55000000000000004</v>
      </c>
      <c r="C44" s="136"/>
      <c r="D44" s="136"/>
      <c r="E44" s="136"/>
      <c r="F44" s="136"/>
      <c r="G44" s="136"/>
      <c r="H44" s="113"/>
      <c r="I44" s="113"/>
      <c r="J44" s="115"/>
      <c r="K44" s="113"/>
      <c r="L44" s="113"/>
    </row>
    <row r="45" spans="1:12" ht="27" x14ac:dyDescent="0.3">
      <c r="A45" s="135" t="s">
        <v>51</v>
      </c>
      <c r="B45" s="111">
        <v>0.08</v>
      </c>
      <c r="C45" s="136"/>
      <c r="D45" s="136"/>
      <c r="E45" s="136"/>
      <c r="F45" s="136"/>
      <c r="G45" s="136"/>
      <c r="H45" s="113"/>
      <c r="I45" s="113"/>
      <c r="J45" s="115"/>
      <c r="K45" s="113"/>
      <c r="L45" s="113"/>
    </row>
    <row r="46" spans="1:12" x14ac:dyDescent="0.3">
      <c r="A46" s="135" t="s">
        <v>52</v>
      </c>
      <c r="B46" s="111">
        <v>0.54</v>
      </c>
      <c r="C46" s="136"/>
      <c r="D46" s="136"/>
      <c r="E46" s="136"/>
      <c r="F46" s="136"/>
      <c r="G46" s="136"/>
      <c r="H46" s="113"/>
      <c r="I46" s="113"/>
      <c r="J46" s="115"/>
      <c r="K46" s="113"/>
      <c r="L46" s="113"/>
    </row>
    <row r="47" spans="1:12" x14ac:dyDescent="0.3">
      <c r="A47" s="135" t="s">
        <v>54</v>
      </c>
      <c r="B47" s="111">
        <v>0.4</v>
      </c>
      <c r="C47" s="136"/>
      <c r="D47" s="136"/>
      <c r="E47" s="136"/>
      <c r="F47" s="136"/>
      <c r="G47" s="136"/>
      <c r="H47" s="113"/>
      <c r="I47" s="113"/>
      <c r="J47" s="115"/>
      <c r="K47" s="113"/>
      <c r="L47" s="113"/>
    </row>
    <row r="48" spans="1:12" ht="27" x14ac:dyDescent="0.3">
      <c r="A48" s="135" t="s">
        <v>55</v>
      </c>
      <c r="B48" s="111">
        <v>0.11</v>
      </c>
      <c r="C48" s="136"/>
      <c r="D48" s="136"/>
      <c r="E48" s="136"/>
      <c r="F48" s="136"/>
      <c r="G48" s="136"/>
      <c r="H48" s="113"/>
      <c r="I48" s="113"/>
      <c r="J48" s="115"/>
      <c r="K48" s="113"/>
      <c r="L48" s="113"/>
    </row>
    <row r="49" spans="1:12" ht="27" x14ac:dyDescent="0.3">
      <c r="A49" s="135" t="s">
        <v>56</v>
      </c>
      <c r="B49" s="111">
        <v>0.03</v>
      </c>
      <c r="C49" s="136"/>
      <c r="D49" s="136"/>
      <c r="E49" s="136"/>
      <c r="F49" s="136"/>
      <c r="G49" s="136"/>
      <c r="H49" s="113"/>
      <c r="I49" s="113"/>
      <c r="J49" s="115"/>
      <c r="K49" s="113"/>
      <c r="L49" s="113"/>
    </row>
    <row r="50" spans="1:12" x14ac:dyDescent="0.3">
      <c r="A50" s="135" t="s">
        <v>57</v>
      </c>
      <c r="B50" s="111">
        <v>0.51</v>
      </c>
      <c r="C50" s="136"/>
      <c r="D50" s="136"/>
      <c r="E50" s="136"/>
      <c r="F50" s="136"/>
      <c r="G50" s="136"/>
      <c r="H50" s="113"/>
      <c r="I50" s="113"/>
      <c r="J50" s="115"/>
      <c r="K50" s="113"/>
      <c r="L50" s="113"/>
    </row>
    <row r="51" spans="1:12" x14ac:dyDescent="0.3">
      <c r="A51" s="135" t="s">
        <v>58</v>
      </c>
      <c r="B51" s="111">
        <v>0.06</v>
      </c>
      <c r="C51" s="136"/>
      <c r="D51" s="136"/>
      <c r="E51" s="136"/>
      <c r="F51" s="136"/>
      <c r="G51" s="136"/>
      <c r="H51" s="113"/>
      <c r="I51" s="113"/>
      <c r="J51" s="115"/>
      <c r="K51" s="113"/>
      <c r="L51" s="113"/>
    </row>
    <row r="52" spans="1:12" x14ac:dyDescent="0.3">
      <c r="A52" s="135" t="s">
        <v>59</v>
      </c>
      <c r="B52" s="111">
        <v>0.02</v>
      </c>
      <c r="C52" s="136"/>
      <c r="D52" s="136"/>
      <c r="E52" s="136"/>
      <c r="F52" s="136"/>
      <c r="G52" s="136"/>
      <c r="H52" s="113"/>
      <c r="I52" s="113"/>
      <c r="J52" s="115"/>
      <c r="K52" s="113"/>
      <c r="L52" s="113"/>
    </row>
    <row r="53" spans="1:12" x14ac:dyDescent="0.3">
      <c r="A53" s="135" t="s">
        <v>60</v>
      </c>
      <c r="B53" s="111">
        <v>0.65</v>
      </c>
      <c r="C53" s="136"/>
      <c r="D53" s="136"/>
      <c r="E53" s="136"/>
      <c r="F53" s="136"/>
      <c r="G53" s="136"/>
      <c r="H53" s="113"/>
      <c r="I53" s="113"/>
      <c r="J53" s="115"/>
      <c r="K53" s="113"/>
      <c r="L53" s="113"/>
    </row>
    <row r="54" spans="1:12" x14ac:dyDescent="0.3">
      <c r="A54" s="135" t="s">
        <v>61</v>
      </c>
      <c r="B54" s="111">
        <v>0.51</v>
      </c>
      <c r="C54" s="136"/>
      <c r="D54" s="136"/>
      <c r="E54" s="136"/>
      <c r="F54" s="136"/>
      <c r="G54" s="136"/>
      <c r="H54" s="113"/>
      <c r="I54" s="113"/>
      <c r="J54" s="115"/>
      <c r="K54" s="113"/>
      <c r="L54" s="113"/>
    </row>
    <row r="55" spans="1:12" ht="27" x14ac:dyDescent="0.3">
      <c r="A55" s="135" t="s">
        <v>62</v>
      </c>
      <c r="B55" s="111">
        <v>0.52</v>
      </c>
      <c r="C55" s="136"/>
      <c r="D55" s="136"/>
      <c r="E55" s="136"/>
      <c r="F55" s="136"/>
      <c r="G55" s="136"/>
      <c r="H55" s="113"/>
      <c r="I55" s="113"/>
      <c r="J55" s="115"/>
      <c r="K55" s="113"/>
      <c r="L55" s="113"/>
    </row>
    <row r="56" spans="1:12" x14ac:dyDescent="0.3">
      <c r="A56" s="135" t="s">
        <v>63</v>
      </c>
      <c r="B56" s="111">
        <v>0.28999999999999998</v>
      </c>
      <c r="C56" s="136"/>
      <c r="D56" s="136"/>
      <c r="E56" s="136"/>
      <c r="F56" s="136"/>
      <c r="G56" s="136"/>
      <c r="H56" s="113"/>
      <c r="I56" s="113"/>
      <c r="J56" s="115"/>
      <c r="K56" s="113"/>
      <c r="L56" s="113"/>
    </row>
    <row r="57" spans="1:12" x14ac:dyDescent="0.3">
      <c r="A57" s="135" t="s">
        <v>64</v>
      </c>
      <c r="B57" s="111">
        <v>0.26</v>
      </c>
      <c r="C57" s="136"/>
      <c r="D57" s="136"/>
      <c r="E57" s="136"/>
      <c r="F57" s="136"/>
      <c r="G57" s="136"/>
      <c r="H57" s="113"/>
      <c r="I57" s="113"/>
      <c r="J57" s="115"/>
      <c r="K57" s="113"/>
      <c r="L57" s="113"/>
    </row>
    <row r="58" spans="1:12" x14ac:dyDescent="0.3">
      <c r="A58" s="135" t="s">
        <v>65</v>
      </c>
      <c r="B58" s="111">
        <v>0.7</v>
      </c>
      <c r="C58" s="136"/>
      <c r="D58" s="136"/>
      <c r="E58" s="136"/>
      <c r="F58" s="136"/>
      <c r="G58" s="136"/>
      <c r="H58" s="113"/>
      <c r="I58" s="113"/>
      <c r="J58" s="115"/>
      <c r="K58" s="113"/>
      <c r="L58" s="113"/>
    </row>
    <row r="59" spans="1:12" x14ac:dyDescent="0.3">
      <c r="A59" s="135" t="s">
        <v>66</v>
      </c>
      <c r="B59" s="111">
        <v>0.6</v>
      </c>
      <c r="C59" s="136"/>
      <c r="D59" s="136"/>
      <c r="E59" s="136"/>
      <c r="F59" s="136"/>
      <c r="G59" s="136"/>
      <c r="H59" s="113"/>
      <c r="I59" s="113"/>
      <c r="J59" s="115"/>
      <c r="K59" s="113"/>
      <c r="L59" s="113"/>
    </row>
    <row r="60" spans="1:12" x14ac:dyDescent="0.3">
      <c r="A60" s="135" t="s">
        <v>67</v>
      </c>
      <c r="B60" s="111">
        <v>0.33</v>
      </c>
      <c r="C60" s="136"/>
      <c r="D60" s="136"/>
      <c r="E60" s="136"/>
      <c r="F60" s="136"/>
      <c r="G60" s="136"/>
      <c r="H60" s="113"/>
      <c r="I60" s="113"/>
      <c r="J60" s="115"/>
      <c r="K60" s="113"/>
      <c r="L60" s="113"/>
    </row>
    <row r="61" spans="1:12" x14ac:dyDescent="0.3">
      <c r="A61" s="135" t="s">
        <v>68</v>
      </c>
      <c r="B61" s="111">
        <v>0.34</v>
      </c>
      <c r="C61" s="136"/>
      <c r="D61" s="136"/>
      <c r="E61" s="136"/>
      <c r="F61" s="136"/>
      <c r="G61" s="136"/>
      <c r="H61" s="113"/>
      <c r="I61" s="113"/>
      <c r="J61" s="115"/>
      <c r="K61" s="113"/>
      <c r="L61" s="113"/>
    </row>
    <row r="62" spans="1:12" ht="27" x14ac:dyDescent="0.3">
      <c r="A62" s="135" t="s">
        <v>69</v>
      </c>
      <c r="B62" s="111">
        <v>0.62</v>
      </c>
      <c r="C62" s="136"/>
      <c r="D62" s="136"/>
      <c r="E62" s="136"/>
      <c r="F62" s="136"/>
      <c r="G62" s="136"/>
      <c r="H62" s="113"/>
      <c r="I62" s="113"/>
      <c r="J62" s="115"/>
      <c r="K62" s="113"/>
      <c r="L62" s="113"/>
    </row>
    <row r="63" spans="1:12" x14ac:dyDescent="0.3">
      <c r="A63" s="135" t="s">
        <v>70</v>
      </c>
      <c r="B63" s="111">
        <v>0.39</v>
      </c>
      <c r="C63" s="136"/>
      <c r="D63" s="136"/>
      <c r="E63" s="136"/>
      <c r="F63" s="136"/>
      <c r="G63" s="136"/>
      <c r="H63" s="113"/>
      <c r="I63" s="113"/>
      <c r="J63" s="115"/>
      <c r="K63" s="113"/>
      <c r="L63" s="113"/>
    </row>
    <row r="64" spans="1:12" ht="27" x14ac:dyDescent="0.3">
      <c r="A64" s="135" t="s">
        <v>71</v>
      </c>
      <c r="B64" s="111">
        <v>0.42</v>
      </c>
      <c r="C64" s="136"/>
      <c r="D64" s="136"/>
      <c r="E64" s="136"/>
      <c r="F64" s="136"/>
      <c r="G64" s="136"/>
      <c r="H64" s="113"/>
      <c r="I64" s="113"/>
      <c r="J64" s="115"/>
      <c r="K64" s="113"/>
      <c r="L64" s="113"/>
    </row>
    <row r="65" spans="1:12" x14ac:dyDescent="0.3">
      <c r="A65" s="135" t="s">
        <v>72</v>
      </c>
      <c r="B65" s="111">
        <v>0.2</v>
      </c>
      <c r="C65" s="136"/>
      <c r="D65" s="136"/>
      <c r="E65" s="136"/>
      <c r="F65" s="136"/>
      <c r="G65" s="136"/>
      <c r="H65" s="113"/>
      <c r="I65" s="113"/>
      <c r="J65" s="115"/>
      <c r="K65" s="113"/>
      <c r="L65" s="113"/>
    </row>
    <row r="66" spans="1:12" x14ac:dyDescent="0.3">
      <c r="A66" s="135" t="s">
        <v>73</v>
      </c>
      <c r="B66" s="111">
        <v>0.47</v>
      </c>
      <c r="C66" s="136"/>
      <c r="D66" s="136"/>
      <c r="E66" s="136"/>
      <c r="F66" s="136"/>
      <c r="G66" s="136"/>
      <c r="H66" s="113"/>
      <c r="I66" s="113"/>
      <c r="J66" s="115"/>
      <c r="K66" s="113"/>
      <c r="L66" s="113"/>
    </row>
    <row r="67" spans="1:12" ht="27" x14ac:dyDescent="0.3">
      <c r="A67" s="135" t="s">
        <v>74</v>
      </c>
      <c r="B67" s="111">
        <v>0.5</v>
      </c>
      <c r="C67" s="136"/>
      <c r="D67" s="136"/>
      <c r="E67" s="136"/>
      <c r="F67" s="136"/>
      <c r="G67" s="136"/>
      <c r="H67" s="113"/>
      <c r="I67" s="113"/>
      <c r="J67" s="115"/>
      <c r="K67" s="113"/>
      <c r="L67" s="113"/>
    </row>
    <row r="68" spans="1:12" x14ac:dyDescent="0.3">
      <c r="A68" s="135" t="s">
        <v>75</v>
      </c>
      <c r="B68" s="111">
        <v>0.25</v>
      </c>
      <c r="C68" s="136"/>
      <c r="D68" s="136"/>
      <c r="E68" s="136"/>
      <c r="F68" s="136"/>
      <c r="G68" s="136"/>
      <c r="H68" s="113"/>
      <c r="I68" s="113"/>
      <c r="J68" s="115"/>
      <c r="K68" s="113"/>
      <c r="L68" s="113"/>
    </row>
    <row r="69" spans="1:12" x14ac:dyDescent="0.3">
      <c r="A69" s="135" t="s">
        <v>217</v>
      </c>
      <c r="B69" s="111">
        <v>0.72</v>
      </c>
      <c r="C69" s="136"/>
      <c r="D69" s="136"/>
      <c r="E69" s="136"/>
      <c r="F69" s="136"/>
      <c r="G69" s="136"/>
      <c r="H69" s="113"/>
      <c r="I69" s="113"/>
      <c r="J69" s="115"/>
      <c r="K69" s="113"/>
      <c r="L69" s="113"/>
    </row>
    <row r="70" spans="1:12" ht="27" x14ac:dyDescent="0.3">
      <c r="A70" s="135" t="s">
        <v>77</v>
      </c>
      <c r="B70" s="111">
        <v>0.74</v>
      </c>
      <c r="C70" s="136"/>
      <c r="D70" s="136"/>
      <c r="E70" s="136"/>
      <c r="F70" s="136"/>
      <c r="G70" s="136"/>
      <c r="H70" s="113"/>
      <c r="I70" s="113"/>
      <c r="J70" s="115"/>
      <c r="K70" s="113"/>
      <c r="L70" s="113"/>
    </row>
    <row r="71" spans="1:12" x14ac:dyDescent="0.3">
      <c r="A71" s="135" t="s">
        <v>78</v>
      </c>
      <c r="B71" s="111">
        <v>0.17</v>
      </c>
      <c r="C71" s="136" t="s">
        <v>234</v>
      </c>
      <c r="D71" s="136"/>
      <c r="E71" s="136"/>
      <c r="F71" s="136"/>
      <c r="G71" s="136"/>
      <c r="H71" s="113"/>
      <c r="I71" s="113"/>
      <c r="J71" s="115"/>
      <c r="K71" s="113"/>
      <c r="L71" s="113"/>
    </row>
    <row r="72" spans="1:12" x14ac:dyDescent="0.3">
      <c r="A72" s="135" t="s">
        <v>79</v>
      </c>
      <c r="B72" s="111">
        <v>0.02</v>
      </c>
      <c r="C72" s="136"/>
      <c r="D72" s="136"/>
      <c r="E72" s="136"/>
      <c r="F72" s="136"/>
      <c r="G72" s="136"/>
      <c r="H72" s="113"/>
      <c r="I72" s="113"/>
      <c r="J72" s="115"/>
      <c r="K72" s="113"/>
      <c r="L72" s="113"/>
    </row>
    <row r="73" spans="1:12" ht="27" x14ac:dyDescent="0.3">
      <c r="A73" s="135" t="s">
        <v>80</v>
      </c>
      <c r="B73" s="111">
        <v>0.03</v>
      </c>
      <c r="C73" s="136"/>
      <c r="D73" s="136"/>
      <c r="E73" s="136"/>
      <c r="F73" s="136"/>
      <c r="G73" s="136"/>
      <c r="H73" s="113"/>
      <c r="I73" s="113"/>
      <c r="J73" s="115"/>
      <c r="K73" s="113"/>
      <c r="L73" s="113"/>
    </row>
    <row r="74" spans="1:12" x14ac:dyDescent="0.3">
      <c r="A74" s="135" t="s">
        <v>81</v>
      </c>
      <c r="B74" s="111">
        <v>0.55000000000000004</v>
      </c>
      <c r="C74" s="136"/>
      <c r="D74" s="136"/>
      <c r="E74" s="136"/>
      <c r="F74" s="136"/>
      <c r="G74" s="136"/>
      <c r="H74" s="113"/>
      <c r="I74" s="113"/>
      <c r="J74" s="115"/>
      <c r="K74" s="113"/>
      <c r="L74" s="113"/>
    </row>
    <row r="75" spans="1:12" x14ac:dyDescent="0.3">
      <c r="A75" s="135" t="s">
        <v>82</v>
      </c>
      <c r="B75" s="111">
        <v>0.42</v>
      </c>
      <c r="C75" s="136"/>
      <c r="D75" s="136"/>
      <c r="E75" s="136"/>
      <c r="F75" s="136"/>
      <c r="G75" s="136"/>
      <c r="H75" s="113"/>
      <c r="I75" s="113"/>
      <c r="J75" s="115"/>
      <c r="K75" s="113"/>
      <c r="L75" s="113"/>
    </row>
    <row r="76" spans="1:12" x14ac:dyDescent="0.3">
      <c r="A76" s="135" t="s">
        <v>83</v>
      </c>
      <c r="B76" s="111">
        <v>0.56999999999999995</v>
      </c>
      <c r="C76" s="136"/>
      <c r="D76" s="136"/>
      <c r="E76" s="136"/>
      <c r="F76" s="136"/>
      <c r="G76" s="136"/>
      <c r="H76" s="113"/>
      <c r="I76" s="113"/>
      <c r="J76" s="115"/>
      <c r="K76" s="113"/>
      <c r="L76" s="113"/>
    </row>
    <row r="77" spans="1:12" x14ac:dyDescent="0.3">
      <c r="A77" s="135" t="s">
        <v>84</v>
      </c>
      <c r="B77" s="111">
        <v>0.41</v>
      </c>
      <c r="C77" s="136"/>
      <c r="D77" s="136"/>
      <c r="E77" s="136"/>
      <c r="F77" s="136"/>
      <c r="G77" s="136"/>
      <c r="H77" s="113"/>
      <c r="I77" s="113"/>
      <c r="J77" s="115"/>
      <c r="K77" s="113"/>
      <c r="L77" s="113"/>
    </row>
    <row r="78" spans="1:12" ht="27" x14ac:dyDescent="0.3">
      <c r="A78" s="135" t="s">
        <v>85</v>
      </c>
      <c r="B78" s="111">
        <v>0.2</v>
      </c>
      <c r="C78" s="136"/>
      <c r="D78" s="136"/>
      <c r="E78" s="136"/>
      <c r="F78" s="136"/>
      <c r="G78" s="136"/>
      <c r="H78" s="113"/>
      <c r="I78" s="113"/>
      <c r="J78" s="115"/>
      <c r="K78" s="113"/>
      <c r="L78" s="113"/>
    </row>
    <row r="79" spans="1:12" x14ac:dyDescent="0.3">
      <c r="A79" s="135" t="s">
        <v>86</v>
      </c>
      <c r="B79" s="111">
        <v>0.09</v>
      </c>
      <c r="C79" s="136"/>
      <c r="D79" s="136"/>
      <c r="E79" s="136"/>
      <c r="F79" s="136"/>
      <c r="G79" s="136"/>
      <c r="H79" s="113"/>
      <c r="I79" s="113"/>
      <c r="J79" s="115"/>
      <c r="K79" s="113"/>
      <c r="L79" s="113"/>
    </row>
    <row r="80" spans="1:12" ht="27" x14ac:dyDescent="0.3">
      <c r="A80" s="135" t="s">
        <v>87</v>
      </c>
      <c r="B80" s="111">
        <v>0.65</v>
      </c>
      <c r="C80" s="136"/>
      <c r="D80" s="136"/>
      <c r="E80" s="136"/>
      <c r="F80" s="136"/>
      <c r="G80" s="136"/>
      <c r="H80" s="113"/>
      <c r="I80" s="113"/>
      <c r="J80" s="115"/>
      <c r="K80" s="113"/>
      <c r="L80" s="113"/>
    </row>
    <row r="81" spans="1:12" x14ac:dyDescent="0.3">
      <c r="A81" s="135" t="s">
        <v>218</v>
      </c>
      <c r="B81" s="111">
        <v>0.63</v>
      </c>
      <c r="C81" s="136"/>
      <c r="D81" s="136"/>
      <c r="E81" s="136"/>
      <c r="F81" s="136"/>
      <c r="G81" s="136"/>
      <c r="H81" s="113"/>
      <c r="I81" s="113"/>
      <c r="J81" s="115"/>
      <c r="K81" s="113"/>
      <c r="L81" s="113"/>
    </row>
    <row r="82" spans="1:12" x14ac:dyDescent="0.3">
      <c r="A82" s="135" t="s">
        <v>219</v>
      </c>
      <c r="B82" s="111">
        <v>0.38</v>
      </c>
      <c r="C82" s="136"/>
      <c r="D82" s="136"/>
      <c r="E82" s="136"/>
      <c r="F82" s="136"/>
      <c r="G82" s="136"/>
      <c r="H82" s="113"/>
      <c r="I82" s="113"/>
      <c r="J82" s="115"/>
      <c r="K82" s="113"/>
      <c r="L82" s="113"/>
    </row>
    <row r="83" spans="1:12" x14ac:dyDescent="0.3">
      <c r="A83" s="135" t="s">
        <v>90</v>
      </c>
      <c r="B83" s="111">
        <v>0.64</v>
      </c>
      <c r="C83" s="136"/>
      <c r="D83" s="136"/>
      <c r="E83" s="136"/>
      <c r="F83" s="136"/>
      <c r="G83" s="136"/>
      <c r="H83" s="113"/>
      <c r="I83" s="113"/>
      <c r="J83" s="115"/>
      <c r="K83" s="113"/>
      <c r="L83" s="113"/>
    </row>
    <row r="84" spans="1:12" x14ac:dyDescent="0.3">
      <c r="A84" s="113"/>
      <c r="B84" s="113"/>
      <c r="C84" s="113"/>
      <c r="D84" s="113"/>
      <c r="E84" s="113"/>
      <c r="F84" s="113"/>
      <c r="G84" s="113"/>
      <c r="H84" s="113"/>
      <c r="I84" s="115"/>
      <c r="J84" s="115"/>
      <c r="K84" s="113"/>
      <c r="L84" s="113"/>
    </row>
    <row r="85" spans="1:12" x14ac:dyDescent="0.3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</row>
    <row r="86" spans="1:12" x14ac:dyDescent="0.3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</row>
    <row r="87" spans="1:12" x14ac:dyDescent="0.3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</row>
    <row r="88" spans="1:12" x14ac:dyDescent="0.3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</row>
    <row r="89" spans="1:12" x14ac:dyDescent="0.3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</row>
    <row r="90" spans="1:12" x14ac:dyDescent="0.3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</row>
    <row r="91" spans="1:12" x14ac:dyDescent="0.3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</row>
    <row r="92" spans="1:12" x14ac:dyDescent="0.3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</row>
    <row r="93" spans="1:12" x14ac:dyDescent="0.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</row>
    <row r="94" spans="1:12" x14ac:dyDescent="0.3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</row>
    <row r="95" spans="1:12" x14ac:dyDescent="0.3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</row>
    <row r="96" spans="1:12" x14ac:dyDescent="0.3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</row>
    <row r="97" spans="1:12" x14ac:dyDescent="0.3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</row>
    <row r="98" spans="1:12" x14ac:dyDescent="0.3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</row>
    <row r="99" spans="1:12" x14ac:dyDescent="0.3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</row>
    <row r="100" spans="1:12" x14ac:dyDescent="0.3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</row>
    <row r="101" spans="1:12" x14ac:dyDescent="0.3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</row>
    <row r="102" spans="1:12" x14ac:dyDescent="0.3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</row>
    <row r="103" spans="1:12" x14ac:dyDescent="0.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</row>
    <row r="104" spans="1:12" x14ac:dyDescent="0.3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</row>
    <row r="105" spans="1:12" x14ac:dyDescent="0.3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</row>
    <row r="106" spans="1:12" x14ac:dyDescent="0.3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</row>
    <row r="107" spans="1:12" x14ac:dyDescent="0.3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</row>
    <row r="108" spans="1:12" x14ac:dyDescent="0.3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</row>
    <row r="109" spans="1:12" x14ac:dyDescent="0.3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</row>
    <row r="110" spans="1:12" x14ac:dyDescent="0.3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</row>
    <row r="111" spans="1:12" x14ac:dyDescent="0.3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</row>
    <row r="112" spans="1:12" x14ac:dyDescent="0.3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</row>
    <row r="113" spans="1:12" x14ac:dyDescent="0.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</row>
    <row r="114" spans="1:12" x14ac:dyDescent="0.3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</row>
    <row r="115" spans="1:12" x14ac:dyDescent="0.3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</row>
    <row r="116" spans="1:12" x14ac:dyDescent="0.3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</row>
    <row r="117" spans="1:12" x14ac:dyDescent="0.3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</row>
    <row r="118" spans="1:12" x14ac:dyDescent="0.3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</row>
    <row r="119" spans="1:12" x14ac:dyDescent="0.3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</row>
    <row r="120" spans="1:12" x14ac:dyDescent="0.3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</row>
    <row r="121" spans="1:12" x14ac:dyDescent="0.3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</row>
    <row r="122" spans="1:12" x14ac:dyDescent="0.3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</row>
    <row r="123" spans="1:12" x14ac:dyDescent="0.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</row>
    <row r="124" spans="1:12" x14ac:dyDescent="0.3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</row>
    <row r="125" spans="1:12" x14ac:dyDescent="0.3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</row>
    <row r="126" spans="1:12" x14ac:dyDescent="0.3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</row>
    <row r="127" spans="1:12" x14ac:dyDescent="0.3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</row>
    <row r="128" spans="1:12" x14ac:dyDescent="0.3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</row>
    <row r="129" spans="1:12" x14ac:dyDescent="0.3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</row>
    <row r="130" spans="1:12" x14ac:dyDescent="0.3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</row>
    <row r="131" spans="1:12" x14ac:dyDescent="0.3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</row>
    <row r="132" spans="1:12" x14ac:dyDescent="0.3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</row>
    <row r="133" spans="1:12" x14ac:dyDescent="0.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</row>
    <row r="134" spans="1:12" x14ac:dyDescent="0.3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</row>
    <row r="135" spans="1:12" x14ac:dyDescent="0.3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</row>
    <row r="136" spans="1:12" x14ac:dyDescent="0.3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</row>
    <row r="137" spans="1:12" x14ac:dyDescent="0.3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</row>
    <row r="138" spans="1:12" x14ac:dyDescent="0.3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</row>
    <row r="139" spans="1:12" x14ac:dyDescent="0.3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</row>
    <row r="140" spans="1:12" x14ac:dyDescent="0.3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</row>
    <row r="141" spans="1:12" x14ac:dyDescent="0.3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</row>
    <row r="142" spans="1:12" x14ac:dyDescent="0.3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</row>
    <row r="143" spans="1:12" x14ac:dyDescent="0.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</row>
    <row r="144" spans="1:12" x14ac:dyDescent="0.3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</row>
    <row r="145" spans="1:12" x14ac:dyDescent="0.3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</row>
    <row r="146" spans="1:12" x14ac:dyDescent="0.3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</row>
    <row r="147" spans="1:12" x14ac:dyDescent="0.3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</row>
    <row r="148" spans="1:12" x14ac:dyDescent="0.3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</row>
    <row r="149" spans="1:12" x14ac:dyDescent="0.3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</row>
    <row r="150" spans="1:12" x14ac:dyDescent="0.3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</row>
    <row r="151" spans="1:12" x14ac:dyDescent="0.3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</row>
    <row r="152" spans="1:12" x14ac:dyDescent="0.3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</row>
    <row r="153" spans="1:12" x14ac:dyDescent="0.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</row>
    <row r="154" spans="1:12" x14ac:dyDescent="0.3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</row>
    <row r="155" spans="1:12" x14ac:dyDescent="0.3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</row>
    <row r="156" spans="1:12" x14ac:dyDescent="0.3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</row>
    <row r="157" spans="1:12" x14ac:dyDescent="0.3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</row>
    <row r="158" spans="1:12" x14ac:dyDescent="0.3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</row>
    <row r="159" spans="1:12" x14ac:dyDescent="0.3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</row>
    <row r="160" spans="1:12" x14ac:dyDescent="0.3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</row>
    <row r="161" spans="1:12" x14ac:dyDescent="0.3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</row>
    <row r="162" spans="1:12" x14ac:dyDescent="0.3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</row>
    <row r="163" spans="1:12" x14ac:dyDescent="0.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</row>
    <row r="164" spans="1:12" x14ac:dyDescent="0.3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</row>
    <row r="165" spans="1:12" x14ac:dyDescent="0.3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</row>
    <row r="166" spans="1:12" x14ac:dyDescent="0.3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</row>
    <row r="167" spans="1:12" x14ac:dyDescent="0.3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</row>
    <row r="168" spans="1:12" x14ac:dyDescent="0.3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</row>
    <row r="169" spans="1:12" x14ac:dyDescent="0.3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</row>
    <row r="170" spans="1:12" x14ac:dyDescent="0.3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</row>
    <row r="171" spans="1:12" x14ac:dyDescent="0.3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</row>
    <row r="172" spans="1:12" x14ac:dyDescent="0.3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</row>
    <row r="173" spans="1:12" x14ac:dyDescent="0.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</row>
    <row r="174" spans="1:12" x14ac:dyDescent="0.3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</row>
    <row r="175" spans="1:12" x14ac:dyDescent="0.3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</row>
    <row r="176" spans="1:12" x14ac:dyDescent="0.3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</row>
    <row r="177" spans="1:12" x14ac:dyDescent="0.3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</row>
    <row r="178" spans="1:12" x14ac:dyDescent="0.3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</row>
    <row r="179" spans="1:12" x14ac:dyDescent="0.3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</row>
    <row r="180" spans="1:12" x14ac:dyDescent="0.3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</row>
    <row r="181" spans="1:12" x14ac:dyDescent="0.3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</row>
    <row r="182" spans="1:12" x14ac:dyDescent="0.3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</row>
    <row r="183" spans="1:12" x14ac:dyDescent="0.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</row>
    <row r="184" spans="1:12" x14ac:dyDescent="0.3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</row>
    <row r="185" spans="1:12" x14ac:dyDescent="0.3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</row>
    <row r="186" spans="1:12" x14ac:dyDescent="0.3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</row>
    <row r="187" spans="1:12" x14ac:dyDescent="0.3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</row>
    <row r="188" spans="1:12" x14ac:dyDescent="0.3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</row>
    <row r="189" spans="1:12" x14ac:dyDescent="0.3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</row>
    <row r="190" spans="1:12" x14ac:dyDescent="0.3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</row>
    <row r="191" spans="1:12" x14ac:dyDescent="0.3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</row>
    <row r="192" spans="1:12" x14ac:dyDescent="0.3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</row>
    <row r="193" spans="1:12" x14ac:dyDescent="0.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</row>
    <row r="194" spans="1:12" x14ac:dyDescent="0.3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</row>
    <row r="195" spans="1:12" x14ac:dyDescent="0.3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</row>
    <row r="196" spans="1:12" x14ac:dyDescent="0.3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</row>
    <row r="197" spans="1:12" x14ac:dyDescent="0.3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</row>
    <row r="198" spans="1:12" x14ac:dyDescent="0.3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</row>
    <row r="199" spans="1:12" x14ac:dyDescent="0.3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</row>
    <row r="200" spans="1:12" x14ac:dyDescent="0.3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</row>
    <row r="201" spans="1:12" x14ac:dyDescent="0.3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</row>
    <row r="202" spans="1:12" x14ac:dyDescent="0.3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</row>
    <row r="203" spans="1:12" x14ac:dyDescent="0.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</row>
    <row r="204" spans="1:12" x14ac:dyDescent="0.3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</row>
    <row r="205" spans="1:12" x14ac:dyDescent="0.3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</row>
    <row r="206" spans="1:12" x14ac:dyDescent="0.3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</row>
    <row r="207" spans="1:12" x14ac:dyDescent="0.3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</row>
    <row r="208" spans="1:12" x14ac:dyDescent="0.3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</row>
    <row r="209" spans="1:12" x14ac:dyDescent="0.3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</row>
    <row r="210" spans="1:12" x14ac:dyDescent="0.3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</row>
    <row r="211" spans="1:12" x14ac:dyDescent="0.3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</row>
    <row r="212" spans="1:12" x14ac:dyDescent="0.3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</row>
    <row r="213" spans="1:12" x14ac:dyDescent="0.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</row>
    <row r="214" spans="1:12" x14ac:dyDescent="0.3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</row>
    <row r="215" spans="1:12" x14ac:dyDescent="0.3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</row>
    <row r="216" spans="1:12" x14ac:dyDescent="0.3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</row>
    <row r="217" spans="1:12" x14ac:dyDescent="0.3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</row>
    <row r="218" spans="1:12" x14ac:dyDescent="0.3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</row>
    <row r="219" spans="1:12" x14ac:dyDescent="0.3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</row>
    <row r="220" spans="1:12" x14ac:dyDescent="0.3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</row>
    <row r="221" spans="1:12" x14ac:dyDescent="0.3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</row>
    <row r="222" spans="1:12" x14ac:dyDescent="0.3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</row>
    <row r="223" spans="1:12" x14ac:dyDescent="0.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</row>
    <row r="224" spans="1:12" x14ac:dyDescent="0.3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</row>
    <row r="225" spans="1:12" x14ac:dyDescent="0.3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</row>
    <row r="226" spans="1:12" x14ac:dyDescent="0.3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</row>
    <row r="227" spans="1:12" x14ac:dyDescent="0.3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</row>
    <row r="228" spans="1:12" x14ac:dyDescent="0.3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</row>
    <row r="229" spans="1:12" x14ac:dyDescent="0.3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</row>
    <row r="230" spans="1:12" x14ac:dyDescent="0.3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</row>
    <row r="231" spans="1:12" x14ac:dyDescent="0.3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</row>
    <row r="232" spans="1:12" x14ac:dyDescent="0.3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</row>
    <row r="233" spans="1:12" x14ac:dyDescent="0.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</row>
    <row r="234" spans="1:12" x14ac:dyDescent="0.3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</row>
    <row r="235" spans="1:12" x14ac:dyDescent="0.3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</row>
    <row r="236" spans="1:12" x14ac:dyDescent="0.3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</row>
    <row r="237" spans="1:12" x14ac:dyDescent="0.3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</row>
    <row r="238" spans="1:12" x14ac:dyDescent="0.3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</row>
    <row r="239" spans="1:12" x14ac:dyDescent="0.3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</row>
    <row r="240" spans="1:12" x14ac:dyDescent="0.3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</row>
    <row r="241" spans="1:12" x14ac:dyDescent="0.3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</row>
    <row r="242" spans="1:12" x14ac:dyDescent="0.3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</row>
    <row r="243" spans="1:12" x14ac:dyDescent="0.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</row>
    <row r="244" spans="1:12" x14ac:dyDescent="0.3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</row>
    <row r="245" spans="1:12" x14ac:dyDescent="0.3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</row>
    <row r="246" spans="1:12" x14ac:dyDescent="0.3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</row>
    <row r="247" spans="1:12" x14ac:dyDescent="0.3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</row>
    <row r="248" spans="1:12" x14ac:dyDescent="0.3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</row>
    <row r="249" spans="1:12" x14ac:dyDescent="0.3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</row>
    <row r="250" spans="1:12" x14ac:dyDescent="0.3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</row>
    <row r="251" spans="1:12" x14ac:dyDescent="0.3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</row>
    <row r="252" spans="1:12" x14ac:dyDescent="0.3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</row>
    <row r="253" spans="1:12" x14ac:dyDescent="0.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</row>
    <row r="254" spans="1:12" x14ac:dyDescent="0.3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</row>
    <row r="255" spans="1:12" x14ac:dyDescent="0.3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</row>
    <row r="256" spans="1:12" x14ac:dyDescent="0.3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</row>
    <row r="257" spans="1:12" x14ac:dyDescent="0.3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</row>
    <row r="258" spans="1:12" x14ac:dyDescent="0.3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ADDE-0FC9-4C51-8BB1-BFE5AFC7081B}">
  <dimension ref="A1:AS10"/>
  <sheetViews>
    <sheetView workbookViewId="0">
      <selection activeCell="E30" sqref="E30"/>
    </sheetView>
  </sheetViews>
  <sheetFormatPr defaultRowHeight="14.4" x14ac:dyDescent="0.3"/>
  <cols>
    <col min="1" max="1" width="27.21875" bestFit="1" customWidth="1"/>
    <col min="2" max="2" width="14.88671875" bestFit="1" customWidth="1"/>
    <col min="3" max="3" width="14.6640625" bestFit="1" customWidth="1"/>
    <col min="4" max="4" width="15.6640625" bestFit="1" customWidth="1"/>
    <col min="5" max="5" width="30.6640625" bestFit="1" customWidth="1"/>
    <col min="6" max="6" width="9.6640625" bestFit="1" customWidth="1"/>
    <col min="7" max="7" width="12.33203125" bestFit="1" customWidth="1"/>
    <col min="8" max="8" width="11.77734375" bestFit="1" customWidth="1"/>
    <col min="9" max="9" width="13.77734375" bestFit="1" customWidth="1"/>
    <col min="10" max="10" width="30.6640625" bestFit="1" customWidth="1"/>
    <col min="11" max="11" width="9.6640625" bestFit="1" customWidth="1"/>
    <col min="12" max="12" width="24.33203125" bestFit="1" customWidth="1"/>
    <col min="13" max="13" width="11.77734375" bestFit="1" customWidth="1"/>
    <col min="14" max="14" width="13.77734375" bestFit="1" customWidth="1"/>
    <col min="15" max="15" width="18" bestFit="1" customWidth="1"/>
    <col min="16" max="16" width="17" bestFit="1" customWidth="1"/>
    <col min="17" max="17" width="19.6640625" bestFit="1" customWidth="1"/>
    <col min="18" max="18" width="9.6640625" bestFit="1" customWidth="1"/>
    <col min="20" max="20" width="11.77734375" bestFit="1" customWidth="1"/>
    <col min="21" max="21" width="8.109375" bestFit="1" customWidth="1"/>
    <col min="22" max="22" width="20.33203125" bestFit="1" customWidth="1"/>
    <col min="23" max="23" width="8.109375" bestFit="1" customWidth="1"/>
    <col min="24" max="24" width="18.21875" bestFit="1" customWidth="1"/>
    <col min="25" max="25" width="8.109375" bestFit="1" customWidth="1"/>
    <col min="26" max="26" width="18.21875" bestFit="1" customWidth="1"/>
    <col min="27" max="27" width="8.109375" bestFit="1" customWidth="1"/>
    <col min="28" max="28" width="13.77734375" bestFit="1" customWidth="1"/>
    <col min="29" max="29" width="8.109375" bestFit="1" customWidth="1"/>
    <col min="30" max="30" width="12.6640625" bestFit="1" customWidth="1"/>
    <col min="31" max="31" width="8.109375" bestFit="1" customWidth="1"/>
    <col min="32" max="32" width="20.33203125" bestFit="1" customWidth="1"/>
    <col min="33" max="33" width="8.109375" bestFit="1" customWidth="1"/>
    <col min="34" max="34" width="24" bestFit="1" customWidth="1"/>
    <col min="35" max="35" width="8.109375" bestFit="1" customWidth="1"/>
    <col min="36" max="36" width="15" bestFit="1" customWidth="1"/>
    <col min="37" max="37" width="8.109375" bestFit="1" customWidth="1"/>
    <col min="38" max="38" width="11.77734375" bestFit="1" customWidth="1"/>
    <col min="39" max="39" width="8.109375" bestFit="1" customWidth="1"/>
    <col min="40" max="40" width="10.88671875" bestFit="1" customWidth="1"/>
    <col min="41" max="41" width="8.109375" bestFit="1" customWidth="1"/>
    <col min="42" max="42" width="8.21875" bestFit="1" customWidth="1"/>
    <col min="43" max="43" width="8.109375" bestFit="1" customWidth="1"/>
    <col min="44" max="44" width="7.21875" bestFit="1" customWidth="1"/>
    <col min="45" max="45" width="8.109375" bestFit="1" customWidth="1"/>
  </cols>
  <sheetData>
    <row r="1" spans="1:45" x14ac:dyDescent="0.3">
      <c r="A1" s="180" t="s">
        <v>97</v>
      </c>
      <c r="B1" s="181"/>
      <c r="C1" s="181"/>
      <c r="D1" s="182"/>
      <c r="E1" s="189" t="s">
        <v>107</v>
      </c>
      <c r="F1" s="191"/>
      <c r="G1" s="191"/>
      <c r="H1" s="191"/>
      <c r="I1" s="190"/>
      <c r="J1" s="189" t="s">
        <v>116</v>
      </c>
      <c r="K1" s="191"/>
      <c r="L1" s="191"/>
      <c r="M1" s="191"/>
      <c r="N1" s="190"/>
      <c r="O1" s="189" t="s">
        <v>121</v>
      </c>
      <c r="P1" s="191"/>
      <c r="Q1" s="191"/>
      <c r="R1" s="191"/>
      <c r="S1" s="190"/>
      <c r="T1" s="189" t="s">
        <v>128</v>
      </c>
      <c r="U1" s="190"/>
      <c r="V1" s="186" t="s">
        <v>132</v>
      </c>
      <c r="W1" s="187"/>
      <c r="X1" s="187"/>
      <c r="Y1" s="187"/>
      <c r="Z1" s="187"/>
      <c r="AA1" s="187"/>
      <c r="AB1" s="187"/>
      <c r="AC1" s="187"/>
      <c r="AD1" s="187"/>
      <c r="AE1" s="188"/>
      <c r="AF1" s="183" t="s">
        <v>155</v>
      </c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5"/>
    </row>
    <row r="2" spans="1:45" x14ac:dyDescent="0.3">
      <c r="A2" s="46" t="s">
        <v>92</v>
      </c>
      <c r="B2" s="62" t="s">
        <v>94</v>
      </c>
      <c r="C2" s="62" t="s">
        <v>95</v>
      </c>
      <c r="D2" s="63" t="s">
        <v>96</v>
      </c>
      <c r="E2" s="50" t="s">
        <v>92</v>
      </c>
      <c r="F2" s="64" t="s">
        <v>103</v>
      </c>
      <c r="G2" s="64" t="s">
        <v>104</v>
      </c>
      <c r="H2" s="64" t="s">
        <v>105</v>
      </c>
      <c r="I2" s="65" t="s">
        <v>106</v>
      </c>
      <c r="J2" s="46" t="s">
        <v>92</v>
      </c>
      <c r="K2" s="64" t="s">
        <v>103</v>
      </c>
      <c r="L2" s="64" t="s">
        <v>104</v>
      </c>
      <c r="M2" s="64" t="s">
        <v>105</v>
      </c>
      <c r="N2" s="66" t="s">
        <v>106</v>
      </c>
      <c r="O2" s="45" t="s">
        <v>92</v>
      </c>
      <c r="P2" s="67" t="s">
        <v>117</v>
      </c>
      <c r="Q2" s="67" t="s">
        <v>118</v>
      </c>
      <c r="R2" s="67" t="s">
        <v>119</v>
      </c>
      <c r="S2" s="68" t="s">
        <v>120</v>
      </c>
      <c r="T2" s="56" t="s">
        <v>92</v>
      </c>
      <c r="U2" s="58" t="s">
        <v>182</v>
      </c>
      <c r="V2" s="70" t="s">
        <v>133</v>
      </c>
      <c r="W2" s="71"/>
      <c r="X2" s="70" t="s">
        <v>183</v>
      </c>
      <c r="Y2" s="71"/>
      <c r="Z2" s="74" t="s">
        <v>184</v>
      </c>
      <c r="AA2" s="76"/>
      <c r="AB2" s="74" t="s">
        <v>149</v>
      </c>
      <c r="AC2" s="76"/>
      <c r="AD2" s="74" t="s">
        <v>185</v>
      </c>
      <c r="AE2" s="76"/>
      <c r="AF2" s="74" t="s">
        <v>186</v>
      </c>
      <c r="AG2" s="76"/>
      <c r="AH2" s="74" t="s">
        <v>161</v>
      </c>
      <c r="AI2" s="76"/>
      <c r="AJ2" s="74" t="s">
        <v>166</v>
      </c>
      <c r="AK2" s="76"/>
      <c r="AL2" s="74" t="s">
        <v>173</v>
      </c>
      <c r="AM2" s="76"/>
      <c r="AN2" s="74" t="s">
        <v>176</v>
      </c>
      <c r="AO2" s="76"/>
      <c r="AP2" s="74" t="s">
        <v>179</v>
      </c>
      <c r="AQ2" s="75"/>
      <c r="AR2" s="76" t="s">
        <v>180</v>
      </c>
      <c r="AS2" s="77"/>
    </row>
    <row r="3" spans="1:45" x14ac:dyDescent="0.3">
      <c r="A3" s="47" t="s">
        <v>98</v>
      </c>
      <c r="B3" s="48">
        <v>3.746E-2</v>
      </c>
      <c r="C3" s="48">
        <v>5.6140000000000002E-2</v>
      </c>
      <c r="D3" s="51">
        <v>9.4299999999999991E-3</v>
      </c>
      <c r="E3" s="47" t="s">
        <v>108</v>
      </c>
      <c r="F3" s="48">
        <v>0.11027000000000001</v>
      </c>
      <c r="G3" s="48">
        <v>0.11985</v>
      </c>
      <c r="H3" s="48">
        <v>0.12944</v>
      </c>
      <c r="I3" s="51">
        <v>0.11851</v>
      </c>
      <c r="J3" s="47" t="s">
        <v>108</v>
      </c>
      <c r="K3" s="48">
        <v>0.13155</v>
      </c>
      <c r="L3" s="48">
        <v>0.14299000000000001</v>
      </c>
      <c r="M3" s="48">
        <v>0.15442</v>
      </c>
      <c r="N3" s="49">
        <v>0.14138000000000001</v>
      </c>
      <c r="O3" s="25" t="s">
        <v>122</v>
      </c>
      <c r="P3" s="52" t="s">
        <v>124</v>
      </c>
      <c r="Q3" s="21" t="s">
        <v>125</v>
      </c>
      <c r="R3" s="53"/>
      <c r="S3" s="55"/>
      <c r="T3" s="21" t="s">
        <v>129</v>
      </c>
      <c r="U3" s="59">
        <v>6.9100000000000003E-3</v>
      </c>
      <c r="V3" s="56" t="s">
        <v>130</v>
      </c>
      <c r="W3" s="57" t="s">
        <v>182</v>
      </c>
      <c r="X3" s="67" t="s">
        <v>130</v>
      </c>
      <c r="Y3" s="72" t="s">
        <v>182</v>
      </c>
      <c r="Z3" s="67" t="s">
        <v>130</v>
      </c>
      <c r="AA3" s="72" t="s">
        <v>182</v>
      </c>
      <c r="AB3" s="67" t="s">
        <v>130</v>
      </c>
      <c r="AC3" s="72" t="s">
        <v>182</v>
      </c>
      <c r="AD3" s="67" t="s">
        <v>130</v>
      </c>
      <c r="AE3" s="73" t="s">
        <v>182</v>
      </c>
      <c r="AF3" s="56" t="s">
        <v>130</v>
      </c>
      <c r="AG3" s="69" t="s">
        <v>182</v>
      </c>
      <c r="AH3" s="56" t="s">
        <v>130</v>
      </c>
      <c r="AI3" s="69" t="s">
        <v>182</v>
      </c>
      <c r="AJ3" s="56" t="s">
        <v>130</v>
      </c>
      <c r="AK3" s="69" t="s">
        <v>182</v>
      </c>
      <c r="AL3" s="56" t="s">
        <v>130</v>
      </c>
      <c r="AM3" s="56" t="s">
        <v>182</v>
      </c>
      <c r="AN3" s="56" t="s">
        <v>130</v>
      </c>
      <c r="AO3" s="69" t="s">
        <v>182</v>
      </c>
      <c r="AP3" s="56" t="s">
        <v>130</v>
      </c>
      <c r="AQ3" s="56" t="s">
        <v>182</v>
      </c>
      <c r="AR3" s="56" t="s">
        <v>130</v>
      </c>
      <c r="AS3" s="56" t="s">
        <v>182</v>
      </c>
    </row>
    <row r="4" spans="1:45" x14ac:dyDescent="0.3">
      <c r="A4" s="41" t="s">
        <v>100</v>
      </c>
      <c r="B4" s="30">
        <v>4.6019999999999998E-2</v>
      </c>
      <c r="C4" s="30">
        <v>6.0740000000000002E-2</v>
      </c>
      <c r="D4" s="43">
        <v>1.4540000000000001E-2</v>
      </c>
      <c r="E4" s="41" t="s">
        <v>109</v>
      </c>
      <c r="F4" s="30">
        <v>0.13206999999999999</v>
      </c>
      <c r="G4" s="30">
        <v>0.15093999999999999</v>
      </c>
      <c r="H4" s="30">
        <v>0.16980999999999999</v>
      </c>
      <c r="I4" s="43">
        <v>0.14452999999999999</v>
      </c>
      <c r="J4" s="41" t="s">
        <v>109</v>
      </c>
      <c r="K4" s="30">
        <v>0.15756000000000001</v>
      </c>
      <c r="L4" s="30">
        <v>0.18007000000000001</v>
      </c>
      <c r="M4" s="30">
        <v>0.20258000000000001</v>
      </c>
      <c r="N4" s="31">
        <v>0.17241999999999999</v>
      </c>
      <c r="O4" s="25" t="s">
        <v>126</v>
      </c>
      <c r="P4" s="54"/>
      <c r="Q4" s="54"/>
      <c r="R4" s="21">
        <v>0.25900000000000001</v>
      </c>
      <c r="S4" s="21">
        <v>0.20300000000000001</v>
      </c>
      <c r="V4" s="52" t="s">
        <v>134</v>
      </c>
      <c r="W4" s="59">
        <v>6.7000000000000002E-4</v>
      </c>
      <c r="X4" s="52" t="s">
        <v>142</v>
      </c>
      <c r="Y4" s="59">
        <v>1.31E-3</v>
      </c>
      <c r="Z4" s="52" t="s">
        <v>148</v>
      </c>
      <c r="AA4" s="59">
        <v>1.9300000000000001E-3</v>
      </c>
      <c r="AB4" s="52" t="s">
        <v>150</v>
      </c>
      <c r="AC4" s="60">
        <v>2.14E-3</v>
      </c>
      <c r="AD4" s="52" t="s">
        <v>153</v>
      </c>
      <c r="AE4" s="59">
        <v>2.0699999999999998E-3</v>
      </c>
      <c r="AF4" s="52" t="s">
        <v>134</v>
      </c>
      <c r="AG4" s="59">
        <v>5.6999999999999998E-4</v>
      </c>
      <c r="AH4" s="52" t="s">
        <v>162</v>
      </c>
      <c r="AI4" s="59">
        <v>2.7299999999999998E-3</v>
      </c>
      <c r="AJ4" s="52" t="s">
        <v>167</v>
      </c>
      <c r="AK4" s="59">
        <v>2.8700000000000002E-3</v>
      </c>
      <c r="AL4" s="52" t="s">
        <v>174</v>
      </c>
      <c r="AM4" s="52">
        <v>7.3499999999999998E-3</v>
      </c>
      <c r="AN4" s="52" t="s">
        <v>177</v>
      </c>
      <c r="AO4" s="59">
        <v>1.136E-2</v>
      </c>
      <c r="AP4" s="52" t="s">
        <v>140</v>
      </c>
      <c r="AQ4" s="52">
        <v>8.5279999999999995E-2</v>
      </c>
      <c r="AR4" s="52" t="s">
        <v>181</v>
      </c>
      <c r="AS4" s="52">
        <v>2.96E-3</v>
      </c>
    </row>
    <row r="5" spans="1:45" x14ac:dyDescent="0.3">
      <c r="A5" s="41" t="s">
        <v>101</v>
      </c>
      <c r="B5" s="30">
        <v>6.7059999999999995E-2</v>
      </c>
      <c r="C5" s="30">
        <v>9.783E-2</v>
      </c>
      <c r="D5" s="43">
        <v>1.9789999999999999E-2</v>
      </c>
      <c r="E5" s="41" t="s">
        <v>110</v>
      </c>
      <c r="F5" s="30">
        <v>0.18171999999999999</v>
      </c>
      <c r="G5" s="30">
        <v>0.22159999999999999</v>
      </c>
      <c r="H5" s="30">
        <v>0.26149</v>
      </c>
      <c r="I5" s="43">
        <v>0.23755999999999999</v>
      </c>
      <c r="J5" s="41" t="s">
        <v>110</v>
      </c>
      <c r="K5" s="30">
        <v>0.21678</v>
      </c>
      <c r="L5" s="30">
        <v>0.26436999999999999</v>
      </c>
      <c r="M5" s="30">
        <v>0.31196000000000002</v>
      </c>
      <c r="N5" s="31">
        <v>0.28339999999999999</v>
      </c>
      <c r="O5" s="25" t="s">
        <v>127</v>
      </c>
      <c r="P5" s="54"/>
      <c r="Q5" s="54"/>
      <c r="R5" s="21">
        <v>0.315</v>
      </c>
      <c r="S5" s="21">
        <v>0.13100000000000001</v>
      </c>
      <c r="V5" s="52" t="s">
        <v>135</v>
      </c>
      <c r="W5" s="59">
        <v>1.01E-3</v>
      </c>
      <c r="X5" s="52" t="s">
        <v>143</v>
      </c>
      <c r="Y5" s="59">
        <v>2.3600000000000001E-3</v>
      </c>
      <c r="Z5" s="52" t="s">
        <v>144</v>
      </c>
      <c r="AA5" s="59">
        <v>2.48E-3</v>
      </c>
      <c r="AB5" s="52" t="s">
        <v>151</v>
      </c>
      <c r="AC5" s="60">
        <v>3.3300000000000001E-3</v>
      </c>
      <c r="AD5" s="52" t="s">
        <v>154</v>
      </c>
      <c r="AE5" s="59">
        <v>9.9900000000000006E-3</v>
      </c>
      <c r="AF5" s="52" t="s">
        <v>157</v>
      </c>
      <c r="AG5" s="59">
        <v>6.8999999999999997E-4</v>
      </c>
      <c r="AH5" s="52" t="s">
        <v>145</v>
      </c>
      <c r="AI5" s="59">
        <v>3.63E-3</v>
      </c>
      <c r="AJ5" s="52" t="s">
        <v>168</v>
      </c>
      <c r="AK5" s="59">
        <v>3.81E-3</v>
      </c>
      <c r="AL5" s="52" t="s">
        <v>175</v>
      </c>
      <c r="AM5" s="52">
        <v>1.3220000000000001E-2</v>
      </c>
      <c r="AN5" s="52" t="s">
        <v>178</v>
      </c>
      <c r="AO5" s="52">
        <v>1.384E-2</v>
      </c>
      <c r="AP5" s="5"/>
      <c r="AQ5" s="5"/>
      <c r="AR5" s="5"/>
      <c r="AS5" s="5"/>
    </row>
    <row r="6" spans="1:45" x14ac:dyDescent="0.3">
      <c r="A6" s="42" t="s">
        <v>102</v>
      </c>
      <c r="B6" s="32">
        <v>6.1280000000000001E-2</v>
      </c>
      <c r="C6" s="32">
        <v>6.1830000000000003E-2</v>
      </c>
      <c r="D6" s="44">
        <v>1.7590000000000001E-2</v>
      </c>
      <c r="E6" s="41" t="s">
        <v>111</v>
      </c>
      <c r="F6" s="30">
        <v>0.16044</v>
      </c>
      <c r="G6" s="30">
        <v>0.19131000000000001</v>
      </c>
      <c r="H6" s="30">
        <v>0.22217999999999999</v>
      </c>
      <c r="I6" s="43">
        <v>0.20099</v>
      </c>
      <c r="J6" s="41" t="s">
        <v>111</v>
      </c>
      <c r="K6" s="30">
        <v>0.19139999999999999</v>
      </c>
      <c r="L6" s="30">
        <v>0.22822999999999999</v>
      </c>
      <c r="M6" s="30">
        <v>0.26506000000000002</v>
      </c>
      <c r="N6" s="31">
        <v>0.23977999999999999</v>
      </c>
      <c r="V6" s="52" t="s">
        <v>136</v>
      </c>
      <c r="W6" s="59">
        <v>1.3500000000000001E-3</v>
      </c>
      <c r="X6" s="52" t="s">
        <v>144</v>
      </c>
      <c r="Y6" s="59">
        <v>4.2900000000000004E-3</v>
      </c>
      <c r="Z6" s="52" t="s">
        <v>145</v>
      </c>
      <c r="AA6" s="59">
        <v>3.47E-3</v>
      </c>
      <c r="AB6" s="52" t="s">
        <v>140</v>
      </c>
      <c r="AC6" s="60">
        <v>2.6199999999999999E-3</v>
      </c>
      <c r="AD6" s="52" t="s">
        <v>140</v>
      </c>
      <c r="AE6" s="59">
        <v>2.3500000000000001E-3</v>
      </c>
      <c r="AF6" s="52" t="s">
        <v>158</v>
      </c>
      <c r="AG6" s="59">
        <v>9.3999999999999997E-4</v>
      </c>
      <c r="AH6" s="52" t="s">
        <v>146</v>
      </c>
      <c r="AI6" s="59">
        <v>3.1900000000000001E-3</v>
      </c>
      <c r="AJ6" s="52" t="s">
        <v>169</v>
      </c>
      <c r="AK6" s="59">
        <v>3.81E-3</v>
      </c>
      <c r="AL6" s="52" t="s">
        <v>140</v>
      </c>
      <c r="AM6" s="52">
        <v>8.7299999999999999E-3</v>
      </c>
      <c r="AN6" s="52" t="s">
        <v>140</v>
      </c>
      <c r="AO6" s="52">
        <v>1.17E-2</v>
      </c>
      <c r="AP6" s="5"/>
      <c r="AQ6" s="5"/>
      <c r="AR6" s="5"/>
      <c r="AS6" s="5"/>
    </row>
    <row r="7" spans="1:45" x14ac:dyDescent="0.3">
      <c r="E7" s="41" t="s">
        <v>112</v>
      </c>
      <c r="F7" s="30">
        <v>0.14831</v>
      </c>
      <c r="G7" s="30">
        <v>0.18537999999999999</v>
      </c>
      <c r="H7" s="30">
        <v>0.22245999999999999</v>
      </c>
      <c r="I7" s="43">
        <v>0.18537999999999999</v>
      </c>
      <c r="J7" s="41" t="s">
        <v>112</v>
      </c>
      <c r="K7" s="30">
        <v>0.17199</v>
      </c>
      <c r="L7" s="30">
        <v>0.21498999999999999</v>
      </c>
      <c r="M7" s="30">
        <v>0.25799</v>
      </c>
      <c r="N7" s="31">
        <v>0.21498999999999999</v>
      </c>
      <c r="V7" s="52" t="s">
        <v>137</v>
      </c>
      <c r="W7" s="59">
        <v>1.72E-3</v>
      </c>
      <c r="X7" s="52" t="s">
        <v>145</v>
      </c>
      <c r="Y7" s="59">
        <v>6.7000000000000002E-3</v>
      </c>
      <c r="Z7" s="52" t="s">
        <v>146</v>
      </c>
      <c r="AA7" s="52">
        <v>5.1000000000000004E-3</v>
      </c>
      <c r="AF7" s="52" t="s">
        <v>159</v>
      </c>
      <c r="AG7" s="59">
        <v>1.31E-3</v>
      </c>
      <c r="AH7" s="52" t="s">
        <v>163</v>
      </c>
      <c r="AI7" s="59">
        <v>2.5300000000000001E-3</v>
      </c>
      <c r="AJ7" s="52" t="s">
        <v>170</v>
      </c>
      <c r="AK7" s="52">
        <v>4.5900000000000003E-3</v>
      </c>
      <c r="AL7" s="5"/>
      <c r="AM7" s="5"/>
      <c r="AN7" s="5"/>
      <c r="AO7" s="5"/>
      <c r="AP7" s="5"/>
      <c r="AQ7" s="5"/>
      <c r="AR7" s="5"/>
      <c r="AS7" s="5"/>
    </row>
    <row r="8" spans="1:45" x14ac:dyDescent="0.3">
      <c r="E8" s="41" t="s">
        <v>113</v>
      </c>
      <c r="F8" s="30">
        <v>0.15178</v>
      </c>
      <c r="G8" s="30">
        <v>0.20236999999999999</v>
      </c>
      <c r="H8" s="30">
        <v>0.25296000000000002</v>
      </c>
      <c r="I8" s="43">
        <v>0.22058</v>
      </c>
      <c r="J8" s="41" t="s">
        <v>113</v>
      </c>
      <c r="K8" s="30">
        <v>0.17602000000000001</v>
      </c>
      <c r="L8" s="30">
        <v>0.23469000000000001</v>
      </c>
      <c r="M8" s="30">
        <v>0.29336000000000001</v>
      </c>
      <c r="N8" s="31">
        <v>0.25580999999999998</v>
      </c>
      <c r="V8" s="52" t="s">
        <v>138</v>
      </c>
      <c r="W8" s="59">
        <v>2.0899999999999998E-3</v>
      </c>
      <c r="X8" s="52" t="s">
        <v>146</v>
      </c>
      <c r="Y8" s="59">
        <v>1.0330000000000001E-2</v>
      </c>
      <c r="Z8" s="52" t="s">
        <v>140</v>
      </c>
      <c r="AA8" s="52">
        <v>2.3400000000000001E-3</v>
      </c>
      <c r="AF8" s="52" t="s">
        <v>160</v>
      </c>
      <c r="AG8" s="59">
        <v>1.81E-3</v>
      </c>
      <c r="AH8" s="52" t="s">
        <v>164</v>
      </c>
      <c r="AI8" s="59">
        <v>4.0200000000000001E-3</v>
      </c>
      <c r="AJ8" s="52" t="s">
        <v>171</v>
      </c>
      <c r="AK8" s="52">
        <v>7.3699999999999998E-3</v>
      </c>
      <c r="AL8" s="5"/>
      <c r="AM8" s="5"/>
      <c r="AN8" s="5"/>
      <c r="AO8" s="5"/>
      <c r="AP8" s="5"/>
      <c r="AQ8" s="5"/>
      <c r="AR8" s="5"/>
      <c r="AS8" s="5"/>
    </row>
    <row r="9" spans="1:45" x14ac:dyDescent="0.3">
      <c r="E9" s="41" t="s">
        <v>114</v>
      </c>
      <c r="F9" s="30">
        <v>0.15162</v>
      </c>
      <c r="G9" s="30">
        <v>0.20158999999999999</v>
      </c>
      <c r="H9" s="30">
        <v>0.25157000000000002</v>
      </c>
      <c r="I9" s="43">
        <v>0.21898000000000001</v>
      </c>
      <c r="J9" s="41" t="s">
        <v>114</v>
      </c>
      <c r="K9" s="30">
        <v>0.17582999999999999</v>
      </c>
      <c r="L9" s="30">
        <v>0.23379</v>
      </c>
      <c r="M9" s="30">
        <v>0.29175000000000001</v>
      </c>
      <c r="N9" s="31">
        <v>0.25395000000000001</v>
      </c>
      <c r="V9" s="52" t="s">
        <v>139</v>
      </c>
      <c r="W9" s="59">
        <v>7.6400000000000001E-3</v>
      </c>
      <c r="X9" s="52" t="s">
        <v>140</v>
      </c>
      <c r="Y9" s="52">
        <v>2.0500000000000002E-3</v>
      </c>
      <c r="AF9" s="52" t="s">
        <v>139</v>
      </c>
      <c r="AG9" s="59">
        <v>6.7000000000000002E-3</v>
      </c>
      <c r="AH9" s="52" t="s">
        <v>165</v>
      </c>
      <c r="AI9" s="59">
        <v>4.5500000000000002E-3</v>
      </c>
      <c r="AJ9" s="52" t="s">
        <v>172</v>
      </c>
      <c r="AK9" s="52">
        <v>8.3300000000000006E-3</v>
      </c>
      <c r="AL9" s="5"/>
      <c r="AM9" s="5"/>
      <c r="AN9" s="5"/>
      <c r="AO9" s="5"/>
      <c r="AP9" s="5"/>
      <c r="AQ9" s="5"/>
      <c r="AR9" s="5"/>
      <c r="AS9" s="5"/>
    </row>
    <row r="10" spans="1:45" x14ac:dyDescent="0.3">
      <c r="E10" s="42" t="s">
        <v>115</v>
      </c>
      <c r="F10" s="32">
        <v>0.15526999999999999</v>
      </c>
      <c r="G10" s="32">
        <v>0.19733999999999999</v>
      </c>
      <c r="H10" s="32">
        <v>0.23941999999999999</v>
      </c>
      <c r="I10" s="44">
        <v>0.21154000000000001</v>
      </c>
      <c r="J10" s="42" t="s">
        <v>115</v>
      </c>
      <c r="K10" s="32">
        <v>0.1822</v>
      </c>
      <c r="L10" s="32">
        <v>0.23157</v>
      </c>
      <c r="M10" s="32">
        <v>0.28094999999999998</v>
      </c>
      <c r="N10" s="33">
        <v>0.24823999999999999</v>
      </c>
      <c r="V10" s="52" t="s">
        <v>140</v>
      </c>
      <c r="W10" s="52">
        <v>1.0399999999999999E-3</v>
      </c>
      <c r="AF10" s="52" t="s">
        <v>140</v>
      </c>
      <c r="AG10" s="59">
        <v>8.0000000000000004E-4</v>
      </c>
      <c r="AH10" s="52" t="s">
        <v>140</v>
      </c>
      <c r="AI10" s="59">
        <v>3.0000000000000001E-3</v>
      </c>
      <c r="AJ10" s="52" t="s">
        <v>140</v>
      </c>
      <c r="AK10" s="52">
        <v>3.65E-3</v>
      </c>
      <c r="AL10" s="5"/>
      <c r="AM10" s="5"/>
      <c r="AN10" s="5"/>
      <c r="AO10" s="5"/>
      <c r="AP10" s="5"/>
      <c r="AQ10" s="5"/>
      <c r="AR10" s="5"/>
      <c r="AS10" s="5"/>
    </row>
  </sheetData>
  <mergeCells count="7">
    <mergeCell ref="A1:D1"/>
    <mergeCell ref="AF1:AS1"/>
    <mergeCell ref="V1:AE1"/>
    <mergeCell ref="T1:U1"/>
    <mergeCell ref="O1:S1"/>
    <mergeCell ref="J1:N1"/>
    <mergeCell ref="E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393A-9557-43CE-B45F-3D30F980E3AF}">
  <dimension ref="A1:BA87"/>
  <sheetViews>
    <sheetView workbookViewId="0">
      <selection activeCell="AD27" sqref="AD27:AD33"/>
    </sheetView>
  </sheetViews>
  <sheetFormatPr defaultRowHeight="14.4" x14ac:dyDescent="0.3"/>
  <cols>
    <col min="1" max="1" width="17.33203125" bestFit="1" customWidth="1"/>
    <col min="2" max="2" width="30.6640625" bestFit="1" customWidth="1"/>
    <col min="3" max="3" width="24" bestFit="1" customWidth="1"/>
    <col min="4" max="4" width="17" bestFit="1" customWidth="1"/>
    <col min="5" max="5" width="19.6640625" bestFit="1" customWidth="1"/>
    <col min="6" max="6" width="15.6640625" bestFit="1" customWidth="1"/>
    <col min="7" max="7" width="9.21875" customWidth="1"/>
    <col min="8" max="8" width="17.88671875" bestFit="1" customWidth="1"/>
    <col min="9" max="9" width="30.6640625" bestFit="1" customWidth="1"/>
    <col min="10" max="10" width="14.88671875" bestFit="1" customWidth="1"/>
    <col min="11" max="11" width="14.6640625" bestFit="1" customWidth="1"/>
    <col min="12" max="12" width="10.6640625" bestFit="1" customWidth="1"/>
    <col min="13" max="13" width="11.77734375" bestFit="1" customWidth="1"/>
    <col min="14" max="14" width="13.77734375" bestFit="1" customWidth="1"/>
    <col min="15" max="15" width="10.6640625" bestFit="1" customWidth="1"/>
    <col min="16" max="16" width="16.77734375" bestFit="1" customWidth="1"/>
    <col min="17" max="17" width="18" bestFit="1" customWidth="1"/>
    <col min="18" max="18" width="30.6640625" bestFit="1" customWidth="1"/>
    <col min="19" max="19" width="8.109375" bestFit="1" customWidth="1"/>
    <col min="20" max="20" width="10.88671875" bestFit="1" customWidth="1"/>
    <col min="21" max="21" width="11.77734375" bestFit="1" customWidth="1"/>
    <col min="22" max="22" width="13.77734375" bestFit="1" customWidth="1"/>
    <col min="23" max="23" width="8.6640625" customWidth="1"/>
    <col min="24" max="24" width="17" bestFit="1" customWidth="1"/>
    <col min="25" max="25" width="19.6640625" bestFit="1" customWidth="1"/>
    <col min="26" max="27" width="9.6640625" bestFit="1" customWidth="1"/>
    <col min="28" max="28" width="6.21875" customWidth="1"/>
    <col min="29" max="29" width="16.77734375" bestFit="1" customWidth="1"/>
    <col min="30" max="30" width="17.6640625" bestFit="1" customWidth="1"/>
    <col min="31" max="31" width="24" bestFit="1" customWidth="1"/>
    <col min="32" max="32" width="10.109375" bestFit="1" customWidth="1"/>
    <col min="33" max="33" width="8.109375" bestFit="1" customWidth="1"/>
    <col min="34" max="34" width="18.21875" bestFit="1" customWidth="1"/>
    <col min="35" max="35" width="9.109375" bestFit="1" customWidth="1"/>
    <col min="36" max="36" width="13.77734375" bestFit="1" customWidth="1"/>
    <col min="37" max="37" width="8.109375" bestFit="1" customWidth="1"/>
    <col min="38" max="38" width="12.6640625" bestFit="1" customWidth="1"/>
    <col min="39" max="39" width="8.109375" bestFit="1" customWidth="1"/>
    <col min="40" max="40" width="20.33203125" bestFit="1" customWidth="1"/>
    <col min="41" max="41" width="9.109375" bestFit="1" customWidth="1"/>
    <col min="42" max="42" width="24" bestFit="1" customWidth="1"/>
    <col min="43" max="43" width="8.109375" bestFit="1" customWidth="1"/>
    <col min="44" max="44" width="15" bestFit="1" customWidth="1"/>
    <col min="45" max="45" width="8.109375" bestFit="1" customWidth="1"/>
    <col min="46" max="46" width="11.77734375" bestFit="1" customWidth="1"/>
    <col min="47" max="47" width="8.109375" bestFit="1" customWidth="1"/>
    <col min="48" max="48" width="10.88671875" bestFit="1" customWidth="1"/>
    <col min="49" max="49" width="8.109375" bestFit="1" customWidth="1"/>
    <col min="50" max="50" width="8.21875" bestFit="1" customWidth="1"/>
    <col min="51" max="51" width="8.109375" bestFit="1" customWidth="1"/>
    <col min="52" max="52" width="7.21875" bestFit="1" customWidth="1"/>
    <col min="53" max="53" width="8.109375" bestFit="1" customWidth="1"/>
  </cols>
  <sheetData>
    <row r="1" spans="1:53" x14ac:dyDescent="0.3">
      <c r="A1" s="4" t="s">
        <v>91</v>
      </c>
      <c r="B1" s="4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H1" s="6" t="s">
        <v>91</v>
      </c>
      <c r="I1" s="4" t="s">
        <v>92</v>
      </c>
      <c r="J1" s="5" t="s">
        <v>93</v>
      </c>
      <c r="K1" s="5" t="s">
        <v>103</v>
      </c>
      <c r="L1" s="5" t="s">
        <v>104</v>
      </c>
      <c r="M1" s="5" t="s">
        <v>105</v>
      </c>
      <c r="N1" s="5" t="s">
        <v>106</v>
      </c>
      <c r="O1" s="85"/>
      <c r="P1" t="s">
        <v>91</v>
      </c>
      <c r="Q1" s="5" t="s">
        <v>92</v>
      </c>
      <c r="R1" s="5" t="s">
        <v>93</v>
      </c>
      <c r="S1" s="5" t="s">
        <v>117</v>
      </c>
      <c r="T1" s="5" t="s">
        <v>118</v>
      </c>
      <c r="U1" s="5" t="s">
        <v>119</v>
      </c>
      <c r="V1" s="5" t="s">
        <v>120</v>
      </c>
      <c r="W1" s="86"/>
      <c r="X1" s="86" t="s">
        <v>91</v>
      </c>
      <c r="Y1" s="85" t="s">
        <v>92</v>
      </c>
      <c r="Z1" s="85" t="s">
        <v>93</v>
      </c>
      <c r="AA1" s="85" t="s">
        <v>182</v>
      </c>
      <c r="AB1" s="86"/>
      <c r="AC1" t="s">
        <v>91</v>
      </c>
      <c r="AD1" s="4" t="s">
        <v>92</v>
      </c>
      <c r="AE1" s="5" t="s">
        <v>130</v>
      </c>
      <c r="AF1" s="5" t="s">
        <v>93</v>
      </c>
      <c r="AG1" s="5" t="s">
        <v>131</v>
      </c>
      <c r="AH1" s="2"/>
      <c r="AI1" s="2"/>
      <c r="AJ1" s="2"/>
      <c r="AK1" s="2"/>
      <c r="AL1" s="2"/>
      <c r="AM1" s="2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</row>
    <row r="2" spans="1:53" x14ac:dyDescent="0.3">
      <c r="A2" s="78"/>
      <c r="B2" s="24" t="s">
        <v>98</v>
      </c>
      <c r="C2" s="22" t="s">
        <v>99</v>
      </c>
      <c r="D2" s="28">
        <v>3.746E-2</v>
      </c>
      <c r="E2" s="28">
        <v>5.6140000000000002E-2</v>
      </c>
      <c r="F2" s="29">
        <v>9.4299999999999991E-3</v>
      </c>
      <c r="H2" s="194" t="s">
        <v>107</v>
      </c>
      <c r="I2" s="24" t="s">
        <v>108</v>
      </c>
      <c r="J2" s="22" t="s">
        <v>99</v>
      </c>
      <c r="K2" s="28">
        <v>0.11027000000000001</v>
      </c>
      <c r="L2" s="28">
        <v>0.11985</v>
      </c>
      <c r="M2" s="28">
        <v>0.12944</v>
      </c>
      <c r="N2" s="29">
        <v>0.11851</v>
      </c>
      <c r="O2" s="5"/>
      <c r="P2" s="194" t="s">
        <v>121</v>
      </c>
      <c r="Q2" s="8" t="s">
        <v>122</v>
      </c>
      <c r="R2" s="8" t="s">
        <v>123</v>
      </c>
      <c r="S2" s="9">
        <v>0.13516</v>
      </c>
      <c r="T2" s="8">
        <v>0.13516</v>
      </c>
      <c r="U2" s="38"/>
      <c r="V2" s="39"/>
      <c r="W2" s="5"/>
      <c r="X2" s="82" t="s">
        <v>128</v>
      </c>
      <c r="Y2" s="18" t="s">
        <v>129</v>
      </c>
      <c r="Z2" s="18" t="s">
        <v>123</v>
      </c>
      <c r="AA2" s="27">
        <v>6.9100000000000003E-3</v>
      </c>
      <c r="AB2" s="5"/>
      <c r="AC2" s="197" t="s">
        <v>132</v>
      </c>
      <c r="AD2" s="192" t="s">
        <v>133</v>
      </c>
      <c r="AE2" s="9" t="s">
        <v>134</v>
      </c>
      <c r="AF2" s="9" t="s">
        <v>123</v>
      </c>
      <c r="AG2" s="10">
        <v>6.7000000000000002E-4</v>
      </c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</row>
    <row r="3" spans="1:53" x14ac:dyDescent="0.3">
      <c r="A3" s="79" t="s">
        <v>97</v>
      </c>
      <c r="B3" s="25" t="s">
        <v>100</v>
      </c>
      <c r="C3" s="21" t="s">
        <v>99</v>
      </c>
      <c r="D3" s="30">
        <v>4.6019999999999998E-2</v>
      </c>
      <c r="E3" s="30">
        <v>6.0740000000000002E-2</v>
      </c>
      <c r="F3" s="31">
        <v>1.4540000000000001E-2</v>
      </c>
      <c r="H3" s="195"/>
      <c r="I3" s="25" t="s">
        <v>109</v>
      </c>
      <c r="J3" s="21" t="s">
        <v>99</v>
      </c>
      <c r="K3" s="30">
        <v>0.13206999999999999</v>
      </c>
      <c r="L3" s="30">
        <v>0.15093999999999999</v>
      </c>
      <c r="M3" s="30">
        <v>0.16980999999999999</v>
      </c>
      <c r="N3" s="31">
        <v>0.14452999999999999</v>
      </c>
      <c r="O3" s="7"/>
      <c r="P3" s="195"/>
      <c r="Q3" s="5" t="s">
        <v>126</v>
      </c>
      <c r="R3" s="5" t="s">
        <v>123</v>
      </c>
      <c r="S3" s="36"/>
      <c r="T3" s="36"/>
      <c r="U3" s="5">
        <v>0.25900000000000001</v>
      </c>
      <c r="V3" s="16">
        <v>0.20300000000000001</v>
      </c>
      <c r="W3" s="5"/>
      <c r="X3" s="7"/>
      <c r="Y3" s="5"/>
      <c r="Z3" s="5"/>
      <c r="AA3" s="5"/>
      <c r="AB3" s="5"/>
      <c r="AC3" s="198"/>
      <c r="AD3" s="155"/>
      <c r="AE3" s="7" t="s">
        <v>135</v>
      </c>
      <c r="AF3" s="7" t="s">
        <v>123</v>
      </c>
      <c r="AG3" s="11">
        <v>1.01E-3</v>
      </c>
      <c r="AH3" s="5"/>
      <c r="AJ3" s="5"/>
      <c r="AL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3">
      <c r="A4" s="80"/>
      <c r="B4" s="25" t="s">
        <v>101</v>
      </c>
      <c r="C4" s="21" t="s">
        <v>99</v>
      </c>
      <c r="D4" s="30">
        <v>6.7059999999999995E-2</v>
      </c>
      <c r="E4" s="30">
        <v>9.783E-2</v>
      </c>
      <c r="F4" s="31">
        <v>1.9789999999999999E-2</v>
      </c>
      <c r="H4" s="195"/>
      <c r="I4" s="25" t="s">
        <v>110</v>
      </c>
      <c r="J4" s="21" t="s">
        <v>99</v>
      </c>
      <c r="K4" s="30">
        <v>0.18171999999999999</v>
      </c>
      <c r="L4" s="30">
        <v>0.22159999999999999</v>
      </c>
      <c r="M4" s="30">
        <v>0.26149</v>
      </c>
      <c r="N4" s="31">
        <v>0.23755999999999999</v>
      </c>
      <c r="O4" s="7"/>
      <c r="P4" s="196"/>
      <c r="Q4" s="12" t="s">
        <v>127</v>
      </c>
      <c r="R4" s="12" t="s">
        <v>123</v>
      </c>
      <c r="S4" s="37"/>
      <c r="T4" s="37"/>
      <c r="U4" s="12">
        <v>0.315</v>
      </c>
      <c r="V4" s="17">
        <v>0.13100000000000001</v>
      </c>
      <c r="W4" s="5"/>
      <c r="X4" s="61"/>
      <c r="Y4" s="61"/>
      <c r="Z4" s="5"/>
      <c r="AA4" s="5"/>
      <c r="AC4" s="198"/>
      <c r="AD4" s="155"/>
      <c r="AE4" s="7" t="s">
        <v>136</v>
      </c>
      <c r="AF4" s="7" t="s">
        <v>123</v>
      </c>
      <c r="AG4" s="11">
        <v>1.3500000000000001E-3</v>
      </c>
      <c r="AH4" s="7"/>
      <c r="AI4" s="7"/>
      <c r="AJ4" s="7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x14ac:dyDescent="0.3">
      <c r="A5" s="81"/>
      <c r="B5" s="26" t="s">
        <v>102</v>
      </c>
      <c r="C5" s="23" t="s">
        <v>99</v>
      </c>
      <c r="D5" s="32">
        <v>6.1280000000000001E-2</v>
      </c>
      <c r="E5" s="32">
        <v>6.1830000000000003E-2</v>
      </c>
      <c r="F5" s="33">
        <v>1.7590000000000001E-2</v>
      </c>
      <c r="H5" s="195"/>
      <c r="I5" s="25" t="s">
        <v>111</v>
      </c>
      <c r="J5" s="21" t="s">
        <v>99</v>
      </c>
      <c r="K5" s="30">
        <v>0.16044</v>
      </c>
      <c r="L5" s="30">
        <v>0.19131000000000001</v>
      </c>
      <c r="M5" s="30">
        <v>0.22217999999999999</v>
      </c>
      <c r="N5" s="31">
        <v>0.20099</v>
      </c>
      <c r="O5" s="7"/>
      <c r="W5" s="5"/>
      <c r="X5" s="61"/>
      <c r="Y5" s="61"/>
      <c r="Z5" s="5"/>
      <c r="AA5" s="5"/>
      <c r="AC5" s="198"/>
      <c r="AD5" s="155"/>
      <c r="AE5" s="7" t="s">
        <v>137</v>
      </c>
      <c r="AF5" s="7" t="s">
        <v>123</v>
      </c>
      <c r="AG5" s="11">
        <v>1.72E-3</v>
      </c>
      <c r="AH5" s="7"/>
      <c r="AI5" s="7"/>
      <c r="AJ5" s="7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5"/>
      <c r="AY5" s="5"/>
      <c r="AZ5" s="5"/>
      <c r="BA5" s="5"/>
    </row>
    <row r="6" spans="1:53" x14ac:dyDescent="0.3">
      <c r="A6" s="2"/>
      <c r="H6" s="195"/>
      <c r="I6" s="25" t="s">
        <v>112</v>
      </c>
      <c r="J6" s="21" t="s">
        <v>99</v>
      </c>
      <c r="K6" s="30">
        <v>0.14831</v>
      </c>
      <c r="L6" s="30">
        <v>0.18537999999999999</v>
      </c>
      <c r="M6" s="30">
        <v>0.22245999999999999</v>
      </c>
      <c r="N6" s="31">
        <v>0.18537999999999999</v>
      </c>
      <c r="O6" s="7"/>
      <c r="P6" s="7"/>
      <c r="Q6" s="7"/>
      <c r="R6" s="5"/>
      <c r="S6" s="7"/>
      <c r="T6" s="7"/>
      <c r="U6" s="7"/>
      <c r="V6" s="7"/>
      <c r="AC6" s="198"/>
      <c r="AD6" s="155"/>
      <c r="AE6" s="7" t="s">
        <v>138</v>
      </c>
      <c r="AF6" s="7" t="s">
        <v>123</v>
      </c>
      <c r="AG6" s="11">
        <v>2.0899999999999998E-3</v>
      </c>
      <c r="AH6" s="7"/>
      <c r="AI6" s="7"/>
      <c r="AJ6" s="7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5"/>
      <c r="AY6" s="5"/>
      <c r="AZ6" s="5"/>
      <c r="BA6" s="5"/>
    </row>
    <row r="7" spans="1:53" x14ac:dyDescent="0.3">
      <c r="A7" s="6"/>
      <c r="B7" s="4"/>
      <c r="D7" s="5"/>
      <c r="E7" s="5"/>
      <c r="F7" s="5"/>
      <c r="G7" s="5"/>
      <c r="H7" s="195"/>
      <c r="I7" s="25" t="s">
        <v>113</v>
      </c>
      <c r="J7" s="21" t="s">
        <v>99</v>
      </c>
      <c r="K7" s="30">
        <v>0.15178</v>
      </c>
      <c r="L7" s="30">
        <v>0.20236999999999999</v>
      </c>
      <c r="M7" s="30">
        <v>0.25296000000000002</v>
      </c>
      <c r="N7" s="31">
        <v>0.22058</v>
      </c>
      <c r="O7" s="7"/>
      <c r="P7" s="7"/>
      <c r="Q7" s="7"/>
      <c r="R7" s="5"/>
      <c r="S7" s="7"/>
      <c r="T7" s="7"/>
      <c r="U7" s="7"/>
      <c r="V7" s="7"/>
      <c r="AC7" s="198"/>
      <c r="AD7" s="155"/>
      <c r="AE7" s="7" t="s">
        <v>139</v>
      </c>
      <c r="AF7" s="7" t="s">
        <v>123</v>
      </c>
      <c r="AG7" s="11">
        <v>7.6400000000000001E-3</v>
      </c>
      <c r="AH7" s="7"/>
      <c r="AI7" s="7"/>
      <c r="AN7" s="7"/>
      <c r="AO7" s="7"/>
      <c r="AP7" s="7"/>
      <c r="AQ7" s="7"/>
      <c r="AR7" s="7"/>
      <c r="AS7" s="7"/>
      <c r="AT7" s="5"/>
      <c r="AU7" s="5"/>
      <c r="AV7" s="5"/>
      <c r="AW7" s="5"/>
      <c r="AX7" s="5"/>
      <c r="AY7" s="5"/>
      <c r="AZ7" s="5"/>
      <c r="BA7" s="5"/>
    </row>
    <row r="8" spans="1:53" x14ac:dyDescent="0.3">
      <c r="A8" s="83"/>
      <c r="B8" s="5"/>
      <c r="C8" s="5"/>
      <c r="D8" s="7"/>
      <c r="E8" s="7"/>
      <c r="F8" s="7"/>
      <c r="G8" s="7"/>
      <c r="H8" s="195"/>
      <c r="I8" s="25" t="s">
        <v>114</v>
      </c>
      <c r="J8" s="21" t="s">
        <v>99</v>
      </c>
      <c r="K8" s="30">
        <v>0.15162</v>
      </c>
      <c r="L8" s="30">
        <v>0.20158999999999999</v>
      </c>
      <c r="M8" s="30">
        <v>0.25157000000000002</v>
      </c>
      <c r="N8" s="31">
        <v>0.21898000000000001</v>
      </c>
      <c r="O8" s="7"/>
      <c r="P8" s="7"/>
      <c r="Q8" s="7"/>
      <c r="R8" s="5"/>
      <c r="S8" s="7"/>
      <c r="T8" s="7"/>
      <c r="U8" s="7"/>
      <c r="V8" s="7"/>
      <c r="AC8" s="198"/>
      <c r="AD8" s="155"/>
      <c r="AE8" s="7" t="s">
        <v>140</v>
      </c>
      <c r="AF8" s="7" t="s">
        <v>123</v>
      </c>
      <c r="AG8" s="11">
        <v>1.0399999999999999E-3</v>
      </c>
      <c r="AH8" s="7"/>
      <c r="AI8" s="7"/>
      <c r="AN8" s="7"/>
      <c r="AO8" s="7"/>
      <c r="AP8" s="7"/>
      <c r="AQ8" s="7"/>
      <c r="AR8" s="7"/>
      <c r="AS8" s="7"/>
      <c r="AT8" s="5"/>
      <c r="AU8" s="5"/>
      <c r="AV8" s="5"/>
      <c r="AW8" s="5"/>
      <c r="AX8" s="5"/>
      <c r="AY8" s="5"/>
      <c r="AZ8" s="5"/>
      <c r="BA8" s="5"/>
    </row>
    <row r="9" spans="1:53" x14ac:dyDescent="0.3">
      <c r="A9" s="83"/>
      <c r="B9" s="5"/>
      <c r="C9" s="5"/>
      <c r="D9" s="7"/>
      <c r="E9" s="7"/>
      <c r="F9" s="7"/>
      <c r="G9" s="7"/>
      <c r="H9" s="196"/>
      <c r="I9" s="26" t="s">
        <v>115</v>
      </c>
      <c r="J9" s="23" t="s">
        <v>99</v>
      </c>
      <c r="K9" s="32">
        <v>0.15526999999999999</v>
      </c>
      <c r="L9" s="32">
        <v>0.19733999999999999</v>
      </c>
      <c r="M9" s="32">
        <v>0.23941999999999999</v>
      </c>
      <c r="N9" s="33">
        <v>0.21154000000000001</v>
      </c>
      <c r="O9" s="7"/>
      <c r="P9" s="7"/>
      <c r="Q9" s="7"/>
      <c r="R9" s="5"/>
      <c r="S9" s="7"/>
      <c r="T9" s="7"/>
      <c r="U9" s="7"/>
      <c r="V9" s="7"/>
      <c r="AC9" s="198"/>
      <c r="AD9" s="155" t="s">
        <v>141</v>
      </c>
      <c r="AE9" s="7" t="s">
        <v>142</v>
      </c>
      <c r="AF9" s="7" t="s">
        <v>123</v>
      </c>
      <c r="AG9" s="11">
        <v>1.31E-3</v>
      </c>
      <c r="AN9" s="7"/>
      <c r="AO9" s="7"/>
      <c r="AP9" s="7"/>
      <c r="AQ9" s="7"/>
      <c r="AR9" s="7"/>
      <c r="AS9" s="7"/>
      <c r="AT9" s="5"/>
      <c r="AU9" s="5"/>
      <c r="AV9" s="5"/>
      <c r="AW9" s="5"/>
      <c r="AX9" s="5"/>
      <c r="AY9" s="5"/>
      <c r="AZ9" s="5"/>
      <c r="BA9" s="5"/>
    </row>
    <row r="10" spans="1:53" x14ac:dyDescent="0.3">
      <c r="A10" s="83"/>
      <c r="B10" s="5"/>
      <c r="C10" s="5"/>
      <c r="D10" s="7"/>
      <c r="E10" s="7"/>
      <c r="F10" s="7"/>
      <c r="G10" s="7"/>
      <c r="O10" s="7"/>
      <c r="P10" s="7"/>
      <c r="Q10" s="7"/>
      <c r="R10" s="5"/>
      <c r="S10" s="7"/>
      <c r="T10" s="7"/>
      <c r="U10" s="7"/>
      <c r="V10" s="7"/>
      <c r="AC10" s="198"/>
      <c r="AD10" s="155"/>
      <c r="AE10" s="7" t="s">
        <v>143</v>
      </c>
      <c r="AF10" s="7" t="s">
        <v>123</v>
      </c>
      <c r="AG10" s="11">
        <v>2.3600000000000001E-3</v>
      </c>
      <c r="AN10" s="7"/>
      <c r="AO10" s="7"/>
      <c r="AP10" s="7"/>
      <c r="AQ10" s="7"/>
      <c r="AR10" s="7"/>
      <c r="AS10" s="7"/>
      <c r="AT10" s="5"/>
      <c r="AU10" s="5"/>
      <c r="AV10" s="5"/>
      <c r="AW10" s="5"/>
      <c r="AX10" s="5"/>
      <c r="AY10" s="5"/>
      <c r="AZ10" s="5"/>
      <c r="BA10" s="5"/>
    </row>
    <row r="11" spans="1:53" x14ac:dyDescent="0.3">
      <c r="A11" s="84"/>
      <c r="B11" s="5"/>
      <c r="C11" s="5"/>
      <c r="D11" s="7"/>
      <c r="E11" s="7"/>
      <c r="F11" s="7"/>
      <c r="G11" s="7"/>
      <c r="H11" s="197" t="s">
        <v>116</v>
      </c>
      <c r="I11" s="24" t="s">
        <v>108</v>
      </c>
      <c r="J11" s="22" t="s">
        <v>99</v>
      </c>
      <c r="K11" s="28">
        <v>0.13155</v>
      </c>
      <c r="L11" s="28">
        <v>0.14299000000000001</v>
      </c>
      <c r="M11" s="28">
        <v>0.15442</v>
      </c>
      <c r="N11" s="29">
        <v>0.14138000000000001</v>
      </c>
      <c r="AC11" s="198"/>
      <c r="AD11" s="155"/>
      <c r="AE11" s="7" t="s">
        <v>144</v>
      </c>
      <c r="AF11" s="7" t="s">
        <v>123</v>
      </c>
      <c r="AG11" s="11">
        <v>4.2900000000000004E-3</v>
      </c>
    </row>
    <row r="12" spans="1:53" x14ac:dyDescent="0.3">
      <c r="A12" s="83"/>
      <c r="B12" s="5"/>
      <c r="C12" s="5"/>
      <c r="D12" s="7"/>
      <c r="E12" s="7"/>
      <c r="F12" s="7"/>
      <c r="G12" s="7"/>
      <c r="H12" s="198"/>
      <c r="I12" s="25" t="s">
        <v>109</v>
      </c>
      <c r="J12" s="21" t="s">
        <v>99</v>
      </c>
      <c r="K12" s="30">
        <v>0.15756000000000001</v>
      </c>
      <c r="L12" s="30">
        <v>0.18007000000000001</v>
      </c>
      <c r="M12" s="30">
        <v>0.20258000000000001</v>
      </c>
      <c r="N12" s="31">
        <v>0.17241999999999999</v>
      </c>
      <c r="AC12" s="198"/>
      <c r="AD12" s="155"/>
      <c r="AE12" s="7" t="s">
        <v>145</v>
      </c>
      <c r="AF12" s="7" t="s">
        <v>123</v>
      </c>
      <c r="AG12" s="11">
        <v>6.7000000000000002E-3</v>
      </c>
    </row>
    <row r="13" spans="1:53" x14ac:dyDescent="0.3">
      <c r="A13" s="83"/>
      <c r="B13" s="5"/>
      <c r="C13" s="5"/>
      <c r="D13" s="7"/>
      <c r="E13" s="7"/>
      <c r="F13" s="7"/>
      <c r="G13" s="7"/>
      <c r="H13" s="198"/>
      <c r="I13" s="25" t="s">
        <v>110</v>
      </c>
      <c r="J13" s="21" t="s">
        <v>99</v>
      </c>
      <c r="K13" s="30">
        <v>0.21678</v>
      </c>
      <c r="L13" s="30">
        <v>0.26436999999999999</v>
      </c>
      <c r="M13" s="30">
        <v>0.31196000000000002</v>
      </c>
      <c r="N13" s="31">
        <v>0.28339999999999999</v>
      </c>
      <c r="AC13" s="198"/>
      <c r="AD13" s="155"/>
      <c r="AE13" s="7" t="s">
        <v>146</v>
      </c>
      <c r="AF13" s="7" t="s">
        <v>123</v>
      </c>
      <c r="AG13" s="11">
        <v>1.0330000000000001E-2</v>
      </c>
    </row>
    <row r="14" spans="1:53" ht="15" customHeight="1" x14ac:dyDescent="0.3">
      <c r="A14" s="83"/>
      <c r="B14" s="5"/>
      <c r="C14" s="5"/>
      <c r="D14" s="7"/>
      <c r="E14" s="7"/>
      <c r="F14" s="7"/>
      <c r="G14" s="7"/>
      <c r="H14" s="198"/>
      <c r="I14" s="25" t="s">
        <v>111</v>
      </c>
      <c r="J14" s="21" t="s">
        <v>99</v>
      </c>
      <c r="K14" s="30">
        <v>0.19139999999999999</v>
      </c>
      <c r="L14" s="30">
        <v>0.22822999999999999</v>
      </c>
      <c r="M14" s="30">
        <v>0.26506000000000002</v>
      </c>
      <c r="N14" s="31">
        <v>0.23977999999999999</v>
      </c>
      <c r="AC14" s="198"/>
      <c r="AD14" s="155"/>
      <c r="AE14" s="7" t="s">
        <v>140</v>
      </c>
      <c r="AF14" s="7" t="s">
        <v>123</v>
      </c>
      <c r="AG14" s="11">
        <v>2.0500000000000002E-3</v>
      </c>
    </row>
    <row r="15" spans="1:53" x14ac:dyDescent="0.3">
      <c r="A15" s="83"/>
      <c r="B15" s="5"/>
      <c r="C15" s="5"/>
      <c r="D15" s="7"/>
      <c r="E15" s="7"/>
      <c r="F15" s="7"/>
      <c r="G15" s="7"/>
      <c r="H15" s="198"/>
      <c r="I15" s="25" t="s">
        <v>112</v>
      </c>
      <c r="J15" s="21" t="s">
        <v>99</v>
      </c>
      <c r="K15" s="30">
        <v>0.17199</v>
      </c>
      <c r="L15" s="30">
        <v>0.21498999999999999</v>
      </c>
      <c r="M15" s="30">
        <v>0.25799</v>
      </c>
      <c r="N15" s="31">
        <v>0.21498999999999999</v>
      </c>
      <c r="AC15" s="198"/>
      <c r="AD15" s="155" t="s">
        <v>147</v>
      </c>
      <c r="AE15" s="7" t="s">
        <v>148</v>
      </c>
      <c r="AF15" s="7" t="s">
        <v>123</v>
      </c>
      <c r="AG15" s="11">
        <v>1.9300000000000001E-3</v>
      </c>
    </row>
    <row r="16" spans="1:53" x14ac:dyDescent="0.3">
      <c r="D16" s="5"/>
      <c r="E16" s="5"/>
      <c r="F16" s="5"/>
      <c r="G16" s="5"/>
      <c r="H16" s="198"/>
      <c r="I16" s="25" t="s">
        <v>113</v>
      </c>
      <c r="J16" s="21" t="s">
        <v>99</v>
      </c>
      <c r="K16" s="30">
        <v>0.17602000000000001</v>
      </c>
      <c r="L16" s="30">
        <v>0.23469000000000001</v>
      </c>
      <c r="M16" s="30">
        <v>0.29336000000000001</v>
      </c>
      <c r="N16" s="31">
        <v>0.25580999999999998</v>
      </c>
      <c r="AC16" s="198"/>
      <c r="AD16" s="155"/>
      <c r="AE16" s="7" t="s">
        <v>144</v>
      </c>
      <c r="AF16" s="7" t="s">
        <v>123</v>
      </c>
      <c r="AG16" s="11">
        <v>2.48E-3</v>
      </c>
    </row>
    <row r="17" spans="1:33" x14ac:dyDescent="0.3">
      <c r="A17" s="83"/>
      <c r="B17" s="5"/>
      <c r="C17" s="5"/>
      <c r="D17" s="7"/>
      <c r="E17" s="7"/>
      <c r="F17" s="7"/>
      <c r="G17" s="7"/>
      <c r="H17" s="198"/>
      <c r="I17" s="25" t="s">
        <v>114</v>
      </c>
      <c r="J17" s="21" t="s">
        <v>99</v>
      </c>
      <c r="K17" s="30">
        <v>0.17582999999999999</v>
      </c>
      <c r="L17" s="30">
        <v>0.23379</v>
      </c>
      <c r="M17" s="30">
        <v>0.29175000000000001</v>
      </c>
      <c r="N17" s="31">
        <v>0.25395000000000001</v>
      </c>
      <c r="AC17" s="198"/>
      <c r="AD17" s="155"/>
      <c r="AE17" s="7" t="s">
        <v>145</v>
      </c>
      <c r="AF17" s="7" t="s">
        <v>123</v>
      </c>
      <c r="AG17" s="11">
        <v>3.47E-3</v>
      </c>
    </row>
    <row r="18" spans="1:33" x14ac:dyDescent="0.3">
      <c r="A18" s="83"/>
      <c r="B18" s="5"/>
      <c r="C18" s="5"/>
      <c r="D18" s="7"/>
      <c r="E18" s="7"/>
      <c r="F18" s="7"/>
      <c r="G18" s="7"/>
      <c r="H18" s="199"/>
      <c r="I18" s="26" t="s">
        <v>115</v>
      </c>
      <c r="J18" s="23" t="s">
        <v>99</v>
      </c>
      <c r="K18" s="32">
        <v>0.1822</v>
      </c>
      <c r="L18" s="32">
        <v>0.23157</v>
      </c>
      <c r="M18" s="32">
        <v>0.28094999999999998</v>
      </c>
      <c r="N18" s="33">
        <v>0.24823999999999999</v>
      </c>
      <c r="AC18" s="198"/>
      <c r="AD18" s="155"/>
      <c r="AE18" s="7" t="s">
        <v>146</v>
      </c>
      <c r="AF18" s="7" t="s">
        <v>123</v>
      </c>
      <c r="AG18" s="11">
        <v>5.1000000000000004E-3</v>
      </c>
    </row>
    <row r="19" spans="1:33" x14ac:dyDescent="0.3">
      <c r="A19" s="83"/>
      <c r="B19" s="5"/>
      <c r="C19" s="5"/>
      <c r="D19" s="7"/>
      <c r="E19" s="7"/>
      <c r="F19" s="7"/>
      <c r="G19" s="7"/>
      <c r="AC19" s="198"/>
      <c r="AD19" s="155"/>
      <c r="AE19" s="7" t="s">
        <v>140</v>
      </c>
      <c r="AF19" s="7" t="s">
        <v>123</v>
      </c>
      <c r="AG19" s="11">
        <v>2.3400000000000001E-3</v>
      </c>
    </row>
    <row r="20" spans="1:33" x14ac:dyDescent="0.3">
      <c r="A20" s="84"/>
      <c r="B20" s="5"/>
      <c r="C20" s="5"/>
      <c r="D20" s="7"/>
      <c r="E20" s="7"/>
      <c r="F20" s="7"/>
      <c r="G20" s="7"/>
      <c r="AC20" s="198"/>
      <c r="AD20" s="155" t="s">
        <v>149</v>
      </c>
      <c r="AE20" s="7" t="s">
        <v>150</v>
      </c>
      <c r="AF20" s="7" t="s">
        <v>123</v>
      </c>
      <c r="AG20" s="11">
        <v>2.14E-3</v>
      </c>
    </row>
    <row r="21" spans="1:33" x14ac:dyDescent="0.3">
      <c r="A21" s="84"/>
      <c r="B21" s="5"/>
      <c r="C21" s="5"/>
      <c r="D21" s="7"/>
      <c r="E21" s="7"/>
      <c r="F21" s="7"/>
      <c r="G21" s="7"/>
      <c r="AC21" s="198"/>
      <c r="AD21" s="155"/>
      <c r="AE21" s="7" t="s">
        <v>151</v>
      </c>
      <c r="AF21" s="7" t="s">
        <v>123</v>
      </c>
      <c r="AG21" s="11">
        <v>3.3300000000000001E-3</v>
      </c>
    </row>
    <row r="22" spans="1:33" x14ac:dyDescent="0.3">
      <c r="A22" s="83"/>
      <c r="B22" s="5"/>
      <c r="C22" s="5"/>
      <c r="D22" s="7"/>
      <c r="E22" s="7"/>
      <c r="F22" s="7"/>
      <c r="G22" s="7"/>
      <c r="AC22" s="198"/>
      <c r="AD22" s="155"/>
      <c r="AE22" s="7" t="s">
        <v>140</v>
      </c>
      <c r="AF22" s="7" t="s">
        <v>123</v>
      </c>
      <c r="AG22" s="11">
        <v>2.6199999999999999E-3</v>
      </c>
    </row>
    <row r="23" spans="1:33" x14ac:dyDescent="0.3">
      <c r="A23" s="83"/>
      <c r="B23" s="5"/>
      <c r="C23" s="5"/>
      <c r="D23" s="7"/>
      <c r="E23" s="7"/>
      <c r="F23" s="7"/>
      <c r="G23" s="7"/>
      <c r="AC23" s="198"/>
      <c r="AD23" s="155" t="s">
        <v>152</v>
      </c>
      <c r="AE23" s="7" t="s">
        <v>153</v>
      </c>
      <c r="AF23" s="7" t="s">
        <v>123</v>
      </c>
      <c r="AG23" s="11">
        <v>2.0699999999999998E-3</v>
      </c>
    </row>
    <row r="24" spans="1:33" x14ac:dyDescent="0.3">
      <c r="A24" s="83"/>
      <c r="B24" s="5"/>
      <c r="C24" s="5"/>
      <c r="D24" s="7"/>
      <c r="E24" s="7"/>
      <c r="F24" s="7"/>
      <c r="G24" s="7"/>
      <c r="AC24" s="198"/>
      <c r="AD24" s="155"/>
      <c r="AE24" s="7" t="s">
        <v>154</v>
      </c>
      <c r="AF24" s="7" t="s">
        <v>123</v>
      </c>
      <c r="AG24" s="11">
        <v>9.9900000000000006E-3</v>
      </c>
    </row>
    <row r="25" spans="1:33" x14ac:dyDescent="0.3">
      <c r="G25" s="6"/>
      <c r="AC25" s="199"/>
      <c r="AD25" s="193"/>
      <c r="AE25" s="13" t="s">
        <v>140</v>
      </c>
      <c r="AF25" s="13" t="s">
        <v>123</v>
      </c>
      <c r="AG25" s="14">
        <v>2.3500000000000001E-3</v>
      </c>
    </row>
    <row r="26" spans="1:33" x14ac:dyDescent="0.3">
      <c r="AG26" s="5"/>
    </row>
    <row r="27" spans="1:33" x14ac:dyDescent="0.3">
      <c r="A27" s="87"/>
      <c r="D27" s="6"/>
      <c r="AC27" s="197" t="s">
        <v>155</v>
      </c>
      <c r="AD27" s="192" t="s">
        <v>156</v>
      </c>
      <c r="AE27" s="9" t="s">
        <v>134</v>
      </c>
      <c r="AF27" s="9" t="s">
        <v>123</v>
      </c>
      <c r="AG27" s="10">
        <v>5.6999999999999998E-4</v>
      </c>
    </row>
    <row r="28" spans="1:33" x14ac:dyDescent="0.3">
      <c r="A28" s="87"/>
      <c r="D28" s="88"/>
      <c r="E28" s="88"/>
      <c r="AC28" s="198"/>
      <c r="AD28" s="155"/>
      <c r="AE28" s="7" t="s">
        <v>157</v>
      </c>
      <c r="AF28" s="7" t="s">
        <v>123</v>
      </c>
      <c r="AG28" s="11">
        <v>6.8999999999999997E-4</v>
      </c>
    </row>
    <row r="29" spans="1:33" x14ac:dyDescent="0.3">
      <c r="A29" s="87"/>
      <c r="D29" s="88"/>
      <c r="E29" s="88"/>
      <c r="AC29" s="198"/>
      <c r="AD29" s="155"/>
      <c r="AE29" s="7" t="s">
        <v>158</v>
      </c>
      <c r="AF29" s="7" t="s">
        <v>123</v>
      </c>
      <c r="AG29" s="11">
        <v>9.3999999999999997E-4</v>
      </c>
    </row>
    <row r="30" spans="1:33" x14ac:dyDescent="0.3">
      <c r="AC30" s="198"/>
      <c r="AD30" s="155"/>
      <c r="AE30" s="7" t="s">
        <v>159</v>
      </c>
      <c r="AF30" s="7" t="s">
        <v>123</v>
      </c>
      <c r="AG30" s="11">
        <v>1.31E-3</v>
      </c>
    </row>
    <row r="31" spans="1:33" x14ac:dyDescent="0.3">
      <c r="A31" s="87"/>
      <c r="D31" s="6"/>
      <c r="AC31" s="198"/>
      <c r="AD31" s="155"/>
      <c r="AE31" s="7" t="s">
        <v>160</v>
      </c>
      <c r="AF31" s="7" t="s">
        <v>123</v>
      </c>
      <c r="AG31" s="11">
        <v>1.81E-3</v>
      </c>
    </row>
    <row r="32" spans="1:33" x14ac:dyDescent="0.3">
      <c r="AC32" s="198"/>
      <c r="AD32" s="155"/>
      <c r="AE32" s="7" t="s">
        <v>139</v>
      </c>
      <c r="AF32" s="7" t="s">
        <v>123</v>
      </c>
      <c r="AG32" s="11">
        <v>6.7000000000000002E-3</v>
      </c>
    </row>
    <row r="33" spans="1:33" x14ac:dyDescent="0.3">
      <c r="B33" s="2"/>
      <c r="AC33" s="198"/>
      <c r="AD33" s="155"/>
      <c r="AE33" s="7" t="s">
        <v>140</v>
      </c>
      <c r="AF33" s="7" t="s">
        <v>123</v>
      </c>
      <c r="AG33" s="11">
        <v>8.0000000000000004E-4</v>
      </c>
    </row>
    <row r="34" spans="1:33" x14ac:dyDescent="0.3">
      <c r="A34" s="89"/>
      <c r="B34" s="90"/>
      <c r="C34" s="6"/>
      <c r="D34" s="6"/>
      <c r="E34" s="6"/>
      <c r="AC34" s="198"/>
      <c r="AD34" s="155" t="s">
        <v>161</v>
      </c>
      <c r="AE34" s="7" t="s">
        <v>162</v>
      </c>
      <c r="AF34" s="7" t="s">
        <v>123</v>
      </c>
      <c r="AG34" s="11">
        <v>2.7299999999999998E-3</v>
      </c>
    </row>
    <row r="35" spans="1:33" x14ac:dyDescent="0.3">
      <c r="A35" s="89"/>
      <c r="B35" s="90"/>
      <c r="C35" s="6"/>
      <c r="D35" s="6"/>
      <c r="E35" s="6"/>
      <c r="AC35" s="198"/>
      <c r="AD35" s="155"/>
      <c r="AE35" s="7" t="s">
        <v>145</v>
      </c>
      <c r="AF35" s="7" t="s">
        <v>123</v>
      </c>
      <c r="AG35" s="11">
        <v>3.63E-3</v>
      </c>
    </row>
    <row r="36" spans="1:33" x14ac:dyDescent="0.3">
      <c r="A36" s="89"/>
      <c r="B36" s="90"/>
      <c r="C36" s="6"/>
      <c r="D36" s="6"/>
      <c r="E36" s="6"/>
      <c r="AC36" s="198"/>
      <c r="AD36" s="155"/>
      <c r="AE36" s="7" t="s">
        <v>146</v>
      </c>
      <c r="AF36" s="7" t="s">
        <v>123</v>
      </c>
      <c r="AG36" s="11">
        <v>3.1900000000000001E-3</v>
      </c>
    </row>
    <row r="37" spans="1:33" x14ac:dyDescent="0.3">
      <c r="A37" s="89"/>
      <c r="B37" s="90"/>
      <c r="C37" s="6"/>
      <c r="D37" s="6"/>
      <c r="E37" s="6"/>
      <c r="AC37" s="198"/>
      <c r="AD37" s="155"/>
      <c r="AE37" s="7" t="s">
        <v>163</v>
      </c>
      <c r="AF37" s="7" t="s">
        <v>123</v>
      </c>
      <c r="AG37" s="11">
        <v>2.5300000000000001E-3</v>
      </c>
    </row>
    <row r="38" spans="1:33" x14ac:dyDescent="0.3">
      <c r="A38" s="89"/>
      <c r="B38" s="90"/>
      <c r="C38" s="6"/>
      <c r="D38" s="6"/>
      <c r="E38" s="6"/>
      <c r="AC38" s="198"/>
      <c r="AD38" s="155"/>
      <c r="AE38" s="7" t="s">
        <v>164</v>
      </c>
      <c r="AF38" s="7" t="s">
        <v>123</v>
      </c>
      <c r="AG38" s="11">
        <v>4.0200000000000001E-3</v>
      </c>
    </row>
    <row r="39" spans="1:33" x14ac:dyDescent="0.3">
      <c r="A39" s="89"/>
      <c r="B39" s="90"/>
      <c r="C39" s="6"/>
      <c r="D39" s="6"/>
      <c r="E39" s="6"/>
      <c r="AC39" s="198"/>
      <c r="AD39" s="155"/>
      <c r="AE39" s="7" t="s">
        <v>165</v>
      </c>
      <c r="AF39" s="7" t="s">
        <v>123</v>
      </c>
      <c r="AG39" s="11">
        <v>4.5500000000000002E-3</v>
      </c>
    </row>
    <row r="40" spans="1:33" x14ac:dyDescent="0.3">
      <c r="A40" s="89"/>
      <c r="B40" s="90"/>
      <c r="C40" s="6"/>
      <c r="D40" s="6"/>
      <c r="E40" s="6"/>
      <c r="AC40" s="198"/>
      <c r="AD40" s="155"/>
      <c r="AE40" s="7" t="s">
        <v>140</v>
      </c>
      <c r="AF40" s="7" t="s">
        <v>123</v>
      </c>
      <c r="AG40" s="11">
        <v>3.0000000000000001E-3</v>
      </c>
    </row>
    <row r="41" spans="1:33" x14ac:dyDescent="0.3">
      <c r="A41" s="89"/>
      <c r="B41" s="90"/>
      <c r="C41" s="6"/>
      <c r="D41" s="6"/>
      <c r="E41" s="6"/>
      <c r="AC41" s="198"/>
      <c r="AD41" s="155" t="s">
        <v>166</v>
      </c>
      <c r="AE41" s="7" t="s">
        <v>167</v>
      </c>
      <c r="AF41" s="7" t="s">
        <v>123</v>
      </c>
      <c r="AG41" s="11">
        <v>2.8700000000000002E-3</v>
      </c>
    </row>
    <row r="42" spans="1:33" ht="15" customHeight="1" x14ac:dyDescent="0.3">
      <c r="A42" s="89"/>
      <c r="B42" s="90"/>
      <c r="C42" s="6"/>
      <c r="D42" s="6"/>
      <c r="E42" s="6"/>
      <c r="AC42" s="198"/>
      <c r="AD42" s="155"/>
      <c r="AE42" s="7" t="s">
        <v>168</v>
      </c>
      <c r="AF42" s="7" t="s">
        <v>123</v>
      </c>
      <c r="AG42" s="11">
        <v>3.81E-3</v>
      </c>
    </row>
    <row r="43" spans="1:33" x14ac:dyDescent="0.3">
      <c r="A43" s="89"/>
      <c r="B43" s="90"/>
      <c r="C43" s="6"/>
      <c r="D43" s="6"/>
      <c r="E43" s="6"/>
      <c r="AC43" s="198"/>
      <c r="AD43" s="155"/>
      <c r="AE43" s="7" t="s">
        <v>169</v>
      </c>
      <c r="AF43" s="7" t="s">
        <v>123</v>
      </c>
      <c r="AG43" s="11">
        <v>3.81E-3</v>
      </c>
    </row>
    <row r="44" spans="1:33" x14ac:dyDescent="0.3">
      <c r="A44" s="89"/>
      <c r="B44" s="90"/>
      <c r="C44" s="6"/>
      <c r="D44" s="6"/>
      <c r="E44" s="6"/>
      <c r="AC44" s="198"/>
      <c r="AD44" s="155"/>
      <c r="AE44" s="7" t="s">
        <v>170</v>
      </c>
      <c r="AF44" s="7" t="s">
        <v>123</v>
      </c>
      <c r="AG44" s="11">
        <v>4.5900000000000003E-3</v>
      </c>
    </row>
    <row r="45" spans="1:33" x14ac:dyDescent="0.3">
      <c r="A45" s="89"/>
      <c r="B45" s="90"/>
      <c r="C45" s="6"/>
      <c r="D45" s="6"/>
      <c r="E45" s="6"/>
      <c r="AC45" s="198"/>
      <c r="AD45" s="155"/>
      <c r="AE45" s="7" t="s">
        <v>171</v>
      </c>
      <c r="AF45" s="7" t="s">
        <v>123</v>
      </c>
      <c r="AG45" s="11">
        <v>7.3699999999999998E-3</v>
      </c>
    </row>
    <row r="46" spans="1:33" x14ac:dyDescent="0.3">
      <c r="A46" s="89"/>
      <c r="B46" s="90"/>
      <c r="C46" s="6"/>
      <c r="D46" s="6"/>
      <c r="E46" s="6"/>
      <c r="AC46" s="198"/>
      <c r="AD46" s="155"/>
      <c r="AE46" s="7" t="s">
        <v>172</v>
      </c>
      <c r="AF46" s="7" t="s">
        <v>123</v>
      </c>
      <c r="AG46" s="11">
        <v>8.3300000000000006E-3</v>
      </c>
    </row>
    <row r="47" spans="1:33" x14ac:dyDescent="0.3">
      <c r="A47" s="89"/>
      <c r="B47" s="90"/>
      <c r="C47" s="6"/>
      <c r="D47" s="6"/>
      <c r="E47" s="6"/>
      <c r="AC47" s="198"/>
      <c r="AD47" s="155"/>
      <c r="AE47" s="7" t="s">
        <v>140</v>
      </c>
      <c r="AF47" s="7" t="s">
        <v>123</v>
      </c>
      <c r="AG47" s="11">
        <v>3.65E-3</v>
      </c>
    </row>
    <row r="48" spans="1:33" x14ac:dyDescent="0.3">
      <c r="A48" s="89"/>
      <c r="B48" s="90"/>
      <c r="C48" s="6"/>
      <c r="D48" s="6"/>
      <c r="E48" s="6"/>
      <c r="AC48" s="198"/>
      <c r="AD48" s="155" t="s">
        <v>173</v>
      </c>
      <c r="AE48" s="7" t="s">
        <v>174</v>
      </c>
      <c r="AF48" s="7" t="s">
        <v>123</v>
      </c>
      <c r="AG48" s="11">
        <v>7.3499999999999998E-3</v>
      </c>
    </row>
    <row r="49" spans="1:33" x14ac:dyDescent="0.3">
      <c r="A49" s="89"/>
      <c r="B49" s="90"/>
      <c r="C49" s="6"/>
      <c r="D49" s="6"/>
      <c r="E49" s="6"/>
      <c r="AC49" s="198"/>
      <c r="AD49" s="155"/>
      <c r="AE49" s="7" t="s">
        <v>175</v>
      </c>
      <c r="AF49" s="7" t="s">
        <v>123</v>
      </c>
      <c r="AG49" s="11">
        <v>1.3220000000000001E-2</v>
      </c>
    </row>
    <row r="50" spans="1:33" x14ac:dyDescent="0.3">
      <c r="A50" s="89"/>
      <c r="B50" s="90"/>
      <c r="C50" s="6"/>
      <c r="D50" s="6"/>
      <c r="E50" s="6"/>
      <c r="AC50" s="198"/>
      <c r="AD50" s="155"/>
      <c r="AE50" s="7" t="s">
        <v>140</v>
      </c>
      <c r="AF50" s="7" t="s">
        <v>123</v>
      </c>
      <c r="AG50" s="11">
        <v>8.7299999999999999E-3</v>
      </c>
    </row>
    <row r="51" spans="1:33" x14ac:dyDescent="0.3">
      <c r="A51" s="89"/>
      <c r="B51" s="90"/>
      <c r="C51" s="6"/>
      <c r="D51" s="6"/>
      <c r="E51" s="6"/>
      <c r="AC51" s="198"/>
      <c r="AD51" s="155" t="s">
        <v>176</v>
      </c>
      <c r="AE51" s="7" t="s">
        <v>177</v>
      </c>
      <c r="AF51" s="7" t="s">
        <v>123</v>
      </c>
      <c r="AG51" s="11">
        <v>1.136E-2</v>
      </c>
    </row>
    <row r="52" spans="1:33" x14ac:dyDescent="0.3">
      <c r="A52" s="89"/>
      <c r="B52" s="90"/>
      <c r="C52" s="6"/>
      <c r="D52" s="6"/>
      <c r="E52" s="6"/>
      <c r="AC52" s="198"/>
      <c r="AD52" s="155"/>
      <c r="AE52" s="7" t="s">
        <v>178</v>
      </c>
      <c r="AF52" s="7" t="s">
        <v>123</v>
      </c>
      <c r="AG52" s="11">
        <v>1.384E-2</v>
      </c>
    </row>
    <row r="53" spans="1:33" x14ac:dyDescent="0.3">
      <c r="A53" s="89"/>
      <c r="B53" s="90"/>
      <c r="C53" s="6"/>
      <c r="D53" s="6"/>
      <c r="E53" s="6"/>
      <c r="AC53" s="198"/>
      <c r="AD53" s="155"/>
      <c r="AE53" s="7" t="s">
        <v>140</v>
      </c>
      <c r="AF53" s="7" t="s">
        <v>123</v>
      </c>
      <c r="AG53" s="11">
        <v>1.17E-2</v>
      </c>
    </row>
    <row r="54" spans="1:33" x14ac:dyDescent="0.3">
      <c r="A54" s="89"/>
      <c r="B54" s="90"/>
      <c r="C54" s="6"/>
      <c r="D54" s="6"/>
      <c r="E54" s="6"/>
      <c r="AC54" s="198"/>
      <c r="AD54" s="19" t="s">
        <v>179</v>
      </c>
      <c r="AE54" s="7" t="s">
        <v>140</v>
      </c>
      <c r="AF54" s="7" t="s">
        <v>123</v>
      </c>
      <c r="AG54" s="11">
        <v>8.5279999999999995E-2</v>
      </c>
    </row>
    <row r="55" spans="1:33" x14ac:dyDescent="0.3">
      <c r="A55" s="89"/>
      <c r="B55" s="90"/>
      <c r="C55" s="6"/>
      <c r="D55" s="6"/>
      <c r="E55" s="6"/>
      <c r="AC55" s="199"/>
      <c r="AD55" s="20" t="s">
        <v>180</v>
      </c>
      <c r="AE55" s="13" t="s">
        <v>181</v>
      </c>
      <c r="AF55" s="13" t="s">
        <v>123</v>
      </c>
      <c r="AG55" s="14">
        <v>2.96E-3</v>
      </c>
    </row>
    <row r="56" spans="1:33" x14ac:dyDescent="0.3">
      <c r="A56" s="89"/>
      <c r="B56" s="90"/>
      <c r="C56" s="6"/>
      <c r="D56" s="6"/>
      <c r="E56" s="6"/>
    </row>
    <row r="57" spans="1:33" x14ac:dyDescent="0.3">
      <c r="A57" s="89"/>
      <c r="B57" s="90"/>
      <c r="C57" s="6"/>
      <c r="D57" s="6"/>
      <c r="E57" s="6"/>
    </row>
    <row r="59" spans="1:33" x14ac:dyDescent="0.3">
      <c r="A59" s="89"/>
      <c r="B59" s="90"/>
      <c r="C59" s="6"/>
      <c r="D59" s="6"/>
      <c r="E59" s="6"/>
    </row>
    <row r="60" spans="1:33" x14ac:dyDescent="0.3">
      <c r="A60" s="89"/>
      <c r="B60" s="90"/>
      <c r="C60" s="6"/>
      <c r="D60" s="6"/>
      <c r="E60" s="6"/>
    </row>
    <row r="61" spans="1:33" x14ac:dyDescent="0.3">
      <c r="A61" s="89"/>
      <c r="B61" s="90"/>
      <c r="C61" s="6"/>
      <c r="D61" s="6"/>
      <c r="E61" s="6"/>
    </row>
    <row r="62" spans="1:33" x14ac:dyDescent="0.3">
      <c r="A62" s="89"/>
      <c r="B62" s="90"/>
      <c r="C62" s="6"/>
      <c r="D62" s="6"/>
      <c r="E62" s="6"/>
    </row>
    <row r="63" spans="1:33" x14ac:dyDescent="0.3">
      <c r="A63" s="89"/>
      <c r="B63" s="90"/>
      <c r="C63" s="6"/>
      <c r="D63" s="6"/>
      <c r="E63" s="6"/>
    </row>
    <row r="64" spans="1:33" x14ac:dyDescent="0.3">
      <c r="A64" s="89"/>
      <c r="B64" s="90"/>
      <c r="C64" s="6"/>
      <c r="D64" s="6"/>
      <c r="E64" s="6"/>
    </row>
    <row r="65" spans="1:5" x14ac:dyDescent="0.3">
      <c r="A65" s="89"/>
      <c r="B65" s="90"/>
      <c r="C65" s="6"/>
      <c r="D65" s="6"/>
      <c r="E65" s="6"/>
    </row>
    <row r="66" spans="1:5" x14ac:dyDescent="0.3">
      <c r="A66" s="89"/>
      <c r="B66" s="90"/>
      <c r="C66" s="6"/>
      <c r="D66" s="6"/>
      <c r="E66" s="6"/>
    </row>
    <row r="67" spans="1:5" x14ac:dyDescent="0.3">
      <c r="A67" s="89"/>
      <c r="B67" s="90"/>
      <c r="C67" s="6"/>
      <c r="D67" s="6"/>
      <c r="E67" s="6"/>
    </row>
    <row r="68" spans="1:5" x14ac:dyDescent="0.3">
      <c r="A68" s="89"/>
      <c r="B68" s="90"/>
      <c r="C68" s="6"/>
      <c r="D68" s="6"/>
      <c r="E68" s="6"/>
    </row>
    <row r="69" spans="1:5" x14ac:dyDescent="0.3">
      <c r="A69" s="89"/>
      <c r="B69" s="90"/>
      <c r="C69" s="6"/>
      <c r="D69" s="6"/>
      <c r="E69" s="6"/>
    </row>
    <row r="70" spans="1:5" x14ac:dyDescent="0.3">
      <c r="A70" s="89"/>
      <c r="B70" s="90"/>
      <c r="C70" s="6"/>
      <c r="D70" s="6"/>
      <c r="E70" s="6"/>
    </row>
    <row r="71" spans="1:5" x14ac:dyDescent="0.3">
      <c r="A71" s="89"/>
      <c r="B71" s="90"/>
      <c r="C71" s="6"/>
      <c r="D71" s="6"/>
      <c r="E71" s="6"/>
    </row>
    <row r="72" spans="1:5" x14ac:dyDescent="0.3">
      <c r="A72" s="89"/>
      <c r="B72" s="90"/>
      <c r="C72" s="6"/>
      <c r="D72" s="6"/>
      <c r="E72" s="6"/>
    </row>
    <row r="73" spans="1:5" x14ac:dyDescent="0.3">
      <c r="A73" s="89"/>
      <c r="B73" s="90"/>
      <c r="C73" s="6"/>
      <c r="D73" s="6"/>
      <c r="E73" s="6"/>
    </row>
    <row r="74" spans="1:5" x14ac:dyDescent="0.3">
      <c r="A74" s="89"/>
      <c r="B74" s="90"/>
      <c r="C74" s="6"/>
      <c r="D74" s="6"/>
      <c r="E74" s="6"/>
    </row>
    <row r="75" spans="1:5" x14ac:dyDescent="0.3">
      <c r="A75" s="89"/>
      <c r="B75" s="90"/>
      <c r="C75" s="6"/>
      <c r="D75" s="6"/>
      <c r="E75" s="6"/>
    </row>
    <row r="76" spans="1:5" x14ac:dyDescent="0.3">
      <c r="A76" s="89"/>
      <c r="B76" s="90"/>
      <c r="C76" s="6"/>
      <c r="D76" s="6"/>
      <c r="E76" s="6"/>
    </row>
    <row r="77" spans="1:5" x14ac:dyDescent="0.3">
      <c r="A77" s="89"/>
      <c r="B77" s="90"/>
      <c r="C77" s="6"/>
      <c r="D77" s="6"/>
      <c r="E77" s="6"/>
    </row>
    <row r="78" spans="1:5" x14ac:dyDescent="0.3">
      <c r="A78" s="89"/>
      <c r="B78" s="90"/>
      <c r="C78" s="6"/>
      <c r="D78" s="6"/>
      <c r="E78" s="6"/>
    </row>
    <row r="79" spans="1:5" x14ac:dyDescent="0.3">
      <c r="A79" s="89"/>
      <c r="B79" s="90"/>
      <c r="C79" s="6"/>
      <c r="D79" s="6"/>
      <c r="E79" s="6"/>
    </row>
    <row r="80" spans="1:5" x14ac:dyDescent="0.3">
      <c r="A80" s="89"/>
      <c r="B80" s="90"/>
      <c r="C80" s="6"/>
      <c r="D80" s="6"/>
      <c r="E80" s="6"/>
    </row>
    <row r="81" spans="1:5" x14ac:dyDescent="0.3">
      <c r="A81" s="89"/>
      <c r="B81" s="90"/>
      <c r="C81" s="6"/>
      <c r="D81" s="6"/>
      <c r="E81" s="6"/>
    </row>
    <row r="82" spans="1:5" x14ac:dyDescent="0.3">
      <c r="A82" s="89"/>
      <c r="B82" s="90"/>
      <c r="C82" s="6"/>
      <c r="D82" s="6"/>
      <c r="E82" s="6"/>
    </row>
    <row r="83" spans="1:5" x14ac:dyDescent="0.3">
      <c r="A83" s="89"/>
      <c r="B83" s="90"/>
      <c r="C83" s="6"/>
      <c r="D83" s="6"/>
      <c r="E83" s="6"/>
    </row>
    <row r="84" spans="1:5" x14ac:dyDescent="0.3">
      <c r="A84" s="89"/>
      <c r="B84" s="90"/>
      <c r="C84" s="6"/>
      <c r="D84" s="6"/>
      <c r="E84" s="6"/>
    </row>
    <row r="85" spans="1:5" x14ac:dyDescent="0.3">
      <c r="A85" s="89"/>
      <c r="B85" s="90"/>
      <c r="C85" s="6"/>
      <c r="D85" s="6"/>
      <c r="E85" s="6"/>
    </row>
    <row r="86" spans="1:5" x14ac:dyDescent="0.3">
      <c r="A86" s="89"/>
      <c r="B86" s="90"/>
      <c r="C86" s="6"/>
      <c r="D86" s="6"/>
      <c r="E86" s="6"/>
    </row>
    <row r="87" spans="1:5" x14ac:dyDescent="0.3">
      <c r="A87" s="89"/>
      <c r="B87" s="90"/>
      <c r="C87" s="6"/>
      <c r="D87" s="6"/>
      <c r="E87" s="6"/>
    </row>
  </sheetData>
  <mergeCells count="26">
    <mergeCell ref="H2:H9"/>
    <mergeCell ref="H11:H18"/>
    <mergeCell ref="P2:P4"/>
    <mergeCell ref="AC2:AC25"/>
    <mergeCell ref="AC27:AC55"/>
    <mergeCell ref="AX2:AY2"/>
    <mergeCell ref="AZ2:BA2"/>
    <mergeCell ref="AD51:AD53"/>
    <mergeCell ref="AN1:BA1"/>
    <mergeCell ref="AH2:AI2"/>
    <mergeCell ref="AJ2:AK2"/>
    <mergeCell ref="AL2:AM2"/>
    <mergeCell ref="AN2:AO2"/>
    <mergeCell ref="AP2:AQ2"/>
    <mergeCell ref="AR2:AS2"/>
    <mergeCell ref="AT2:AU2"/>
    <mergeCell ref="AD27:AD33"/>
    <mergeCell ref="AD34:AD40"/>
    <mergeCell ref="AD41:AD47"/>
    <mergeCell ref="AD48:AD50"/>
    <mergeCell ref="AV2:AW2"/>
    <mergeCell ref="AD2:AD8"/>
    <mergeCell ref="AD9:AD14"/>
    <mergeCell ref="AD15:AD19"/>
    <mergeCell ref="AD20:AD22"/>
    <mergeCell ref="AD23:AD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67C1-863C-4D0A-AB75-769F53F13581}">
  <dimension ref="A1:F5"/>
  <sheetViews>
    <sheetView workbookViewId="0">
      <selection activeCell="A2" sqref="A2:A5"/>
    </sheetView>
  </sheetViews>
  <sheetFormatPr defaultRowHeight="14.4" x14ac:dyDescent="0.3"/>
  <cols>
    <col min="1" max="1" width="17.33203125" bestFit="1" customWidth="1"/>
    <col min="2" max="2" width="27.21875" bestFit="1" customWidth="1"/>
    <col min="3" max="3" width="4.77734375" bestFit="1" customWidth="1"/>
    <col min="4" max="4" width="14.88671875" bestFit="1" customWidth="1"/>
    <col min="5" max="5" width="14.6640625" bestFit="1" customWidth="1"/>
    <col min="6" max="6" width="15.6640625" bestFit="1" customWidth="1"/>
  </cols>
  <sheetData>
    <row r="1" spans="1:6" x14ac:dyDescent="0.3">
      <c r="A1" s="4" t="s">
        <v>91</v>
      </c>
      <c r="B1" s="4" t="s">
        <v>92</v>
      </c>
      <c r="C1" s="5" t="s">
        <v>93</v>
      </c>
      <c r="D1" s="5" t="s">
        <v>94</v>
      </c>
      <c r="E1" s="5" t="s">
        <v>95</v>
      </c>
      <c r="F1" s="5" t="s">
        <v>96</v>
      </c>
    </row>
    <row r="2" spans="1:6" x14ac:dyDescent="0.3">
      <c r="A2" s="194" t="s">
        <v>97</v>
      </c>
      <c r="B2" s="24" t="s">
        <v>98</v>
      </c>
      <c r="C2" s="22" t="s">
        <v>99</v>
      </c>
      <c r="D2" s="28">
        <v>3.746E-2</v>
      </c>
      <c r="E2" s="28">
        <v>5.6140000000000002E-2</v>
      </c>
      <c r="F2" s="29">
        <v>9.4299999999999991E-3</v>
      </c>
    </row>
    <row r="3" spans="1:6" x14ac:dyDescent="0.3">
      <c r="A3" s="195"/>
      <c r="B3" s="25" t="s">
        <v>100</v>
      </c>
      <c r="C3" s="21" t="s">
        <v>99</v>
      </c>
      <c r="D3" s="30">
        <v>4.6019999999999998E-2</v>
      </c>
      <c r="E3" s="30">
        <v>6.0740000000000002E-2</v>
      </c>
      <c r="F3" s="31">
        <v>1.4540000000000001E-2</v>
      </c>
    </row>
    <row r="4" spans="1:6" x14ac:dyDescent="0.3">
      <c r="A4" s="195"/>
      <c r="B4" s="25" t="s">
        <v>101</v>
      </c>
      <c r="C4" s="21" t="s">
        <v>99</v>
      </c>
      <c r="D4" s="30">
        <v>6.7059999999999995E-2</v>
      </c>
      <c r="E4" s="30">
        <v>9.783E-2</v>
      </c>
      <c r="F4" s="31">
        <v>1.9789999999999999E-2</v>
      </c>
    </row>
    <row r="5" spans="1:6" x14ac:dyDescent="0.3">
      <c r="A5" s="196"/>
      <c r="B5" s="26" t="s">
        <v>102</v>
      </c>
      <c r="C5" s="23" t="s">
        <v>99</v>
      </c>
      <c r="D5" s="32">
        <v>6.1280000000000001E-2</v>
      </c>
      <c r="E5" s="32">
        <v>6.1830000000000003E-2</v>
      </c>
      <c r="F5" s="33">
        <v>1.7590000000000001E-2</v>
      </c>
    </row>
  </sheetData>
  <mergeCells count="1">
    <mergeCell ref="A2: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5608-A208-4FA3-B2A7-52252785E223}">
  <dimension ref="A1:G17"/>
  <sheetViews>
    <sheetView workbookViewId="0">
      <selection activeCell="K9" sqref="K9"/>
    </sheetView>
  </sheetViews>
  <sheetFormatPr defaultRowHeight="14.4" x14ac:dyDescent="0.3"/>
  <cols>
    <col min="1" max="1" width="24.33203125" bestFit="1" customWidth="1"/>
    <col min="2" max="2" width="30.6640625" bestFit="1" customWidth="1"/>
    <col min="3" max="3" width="4.77734375" bestFit="1" customWidth="1"/>
    <col min="4" max="4" width="9.6640625" bestFit="1" customWidth="1"/>
    <col min="5" max="5" width="10.6640625" bestFit="1" customWidth="1"/>
    <col min="6" max="6" width="11.77734375" bestFit="1" customWidth="1"/>
    <col min="7" max="7" width="13.77734375" bestFit="1" customWidth="1"/>
  </cols>
  <sheetData>
    <row r="1" spans="1:7" x14ac:dyDescent="0.3">
      <c r="A1" s="6" t="s">
        <v>91</v>
      </c>
      <c r="B1" s="4" t="s">
        <v>92</v>
      </c>
      <c r="C1" s="5" t="s">
        <v>93</v>
      </c>
      <c r="D1" s="5" t="s">
        <v>103</v>
      </c>
      <c r="E1" s="5" t="s">
        <v>104</v>
      </c>
      <c r="F1" s="5" t="s">
        <v>105</v>
      </c>
      <c r="G1" s="5" t="s">
        <v>106</v>
      </c>
    </row>
    <row r="2" spans="1:7" x14ac:dyDescent="0.3">
      <c r="A2" s="194" t="s">
        <v>107</v>
      </c>
      <c r="B2" s="24" t="s">
        <v>108</v>
      </c>
      <c r="C2" s="22" t="s">
        <v>99</v>
      </c>
      <c r="D2" s="28">
        <v>0.11027000000000001</v>
      </c>
      <c r="E2" s="28">
        <v>0.11985</v>
      </c>
      <c r="F2" s="28">
        <v>0.12944</v>
      </c>
      <c r="G2" s="29">
        <v>0.11851</v>
      </c>
    </row>
    <row r="3" spans="1:7" x14ac:dyDescent="0.3">
      <c r="A3" s="195"/>
      <c r="B3" s="25" t="s">
        <v>109</v>
      </c>
      <c r="C3" s="21" t="s">
        <v>99</v>
      </c>
      <c r="D3" s="30">
        <v>0.13206999999999999</v>
      </c>
      <c r="E3" s="30">
        <v>0.15093999999999999</v>
      </c>
      <c r="F3" s="30">
        <v>0.16980999999999999</v>
      </c>
      <c r="G3" s="31">
        <v>0.14452999999999999</v>
      </c>
    </row>
    <row r="4" spans="1:7" x14ac:dyDescent="0.3">
      <c r="A4" s="195"/>
      <c r="B4" s="25" t="s">
        <v>110</v>
      </c>
      <c r="C4" s="21" t="s">
        <v>99</v>
      </c>
      <c r="D4" s="30">
        <v>0.18171999999999999</v>
      </c>
      <c r="E4" s="30">
        <v>0.22159999999999999</v>
      </c>
      <c r="F4" s="30">
        <v>0.26149</v>
      </c>
      <c r="G4" s="31">
        <v>0.23755999999999999</v>
      </c>
    </row>
    <row r="5" spans="1:7" x14ac:dyDescent="0.3">
      <c r="A5" s="195"/>
      <c r="B5" s="25" t="s">
        <v>111</v>
      </c>
      <c r="C5" s="21" t="s">
        <v>99</v>
      </c>
      <c r="D5" s="30">
        <v>0.16044</v>
      </c>
      <c r="E5" s="30">
        <v>0.19131000000000001</v>
      </c>
      <c r="F5" s="30">
        <v>0.22217999999999999</v>
      </c>
      <c r="G5" s="31">
        <v>0.20099</v>
      </c>
    </row>
    <row r="6" spans="1:7" x14ac:dyDescent="0.3">
      <c r="A6" s="195"/>
      <c r="B6" s="25" t="s">
        <v>112</v>
      </c>
      <c r="C6" s="21" t="s">
        <v>99</v>
      </c>
      <c r="D6" s="30">
        <v>0.14831</v>
      </c>
      <c r="E6" s="30">
        <v>0.18537999999999999</v>
      </c>
      <c r="F6" s="30">
        <v>0.22245999999999999</v>
      </c>
      <c r="G6" s="31">
        <v>0.18537999999999999</v>
      </c>
    </row>
    <row r="7" spans="1:7" x14ac:dyDescent="0.3">
      <c r="A7" s="195"/>
      <c r="B7" s="25" t="s">
        <v>113</v>
      </c>
      <c r="C7" s="21" t="s">
        <v>99</v>
      </c>
      <c r="D7" s="30">
        <v>0.15178</v>
      </c>
      <c r="E7" s="30">
        <v>0.20236999999999999</v>
      </c>
      <c r="F7" s="30">
        <v>0.25296000000000002</v>
      </c>
      <c r="G7" s="31">
        <v>0.22058</v>
      </c>
    </row>
    <row r="8" spans="1:7" x14ac:dyDescent="0.3">
      <c r="A8" s="195"/>
      <c r="B8" s="25" t="s">
        <v>114</v>
      </c>
      <c r="C8" s="21" t="s">
        <v>99</v>
      </c>
      <c r="D8" s="30">
        <v>0.15162</v>
      </c>
      <c r="E8" s="30">
        <v>0.20158999999999999</v>
      </c>
      <c r="F8" s="30">
        <v>0.25157000000000002</v>
      </c>
      <c r="G8" s="31">
        <v>0.21898000000000001</v>
      </c>
    </row>
    <row r="9" spans="1:7" x14ac:dyDescent="0.3">
      <c r="A9" s="196"/>
      <c r="B9" s="26" t="s">
        <v>115</v>
      </c>
      <c r="C9" s="23" t="s">
        <v>99</v>
      </c>
      <c r="D9" s="32">
        <v>0.15526999999999999</v>
      </c>
      <c r="E9" s="32">
        <v>0.19733999999999999</v>
      </c>
      <c r="F9" s="32">
        <v>0.23941999999999999</v>
      </c>
      <c r="G9" s="33">
        <v>0.21154000000000001</v>
      </c>
    </row>
    <row r="10" spans="1:7" x14ac:dyDescent="0.3">
      <c r="A10" s="194" t="s">
        <v>116</v>
      </c>
      <c r="B10" s="24" t="s">
        <v>108</v>
      </c>
      <c r="C10" s="22" t="s">
        <v>99</v>
      </c>
      <c r="D10" s="28">
        <v>0.13155</v>
      </c>
      <c r="E10" s="28">
        <v>0.14299000000000001</v>
      </c>
      <c r="F10" s="28">
        <v>0.15442</v>
      </c>
      <c r="G10" s="29">
        <v>0.14138000000000001</v>
      </c>
    </row>
    <row r="11" spans="1:7" x14ac:dyDescent="0.3">
      <c r="A11" s="195"/>
      <c r="B11" s="25" t="s">
        <v>109</v>
      </c>
      <c r="C11" s="21" t="s">
        <v>99</v>
      </c>
      <c r="D11" s="30">
        <v>0.15756000000000001</v>
      </c>
      <c r="E11" s="30">
        <v>0.18007000000000001</v>
      </c>
      <c r="F11" s="30">
        <v>0.20258000000000001</v>
      </c>
      <c r="G11" s="31">
        <v>0.17241999999999999</v>
      </c>
    </row>
    <row r="12" spans="1:7" x14ac:dyDescent="0.3">
      <c r="A12" s="195"/>
      <c r="B12" s="25" t="s">
        <v>110</v>
      </c>
      <c r="C12" s="21" t="s">
        <v>99</v>
      </c>
      <c r="D12" s="30">
        <v>0.21678</v>
      </c>
      <c r="E12" s="30">
        <v>0.26436999999999999</v>
      </c>
      <c r="F12" s="30">
        <v>0.31196000000000002</v>
      </c>
      <c r="G12" s="31">
        <v>0.28339999999999999</v>
      </c>
    </row>
    <row r="13" spans="1:7" x14ac:dyDescent="0.3">
      <c r="A13" s="195"/>
      <c r="B13" s="25" t="s">
        <v>111</v>
      </c>
      <c r="C13" s="21" t="s">
        <v>99</v>
      </c>
      <c r="D13" s="30">
        <v>0.19139999999999999</v>
      </c>
      <c r="E13" s="30">
        <v>0.22822999999999999</v>
      </c>
      <c r="F13" s="30">
        <v>0.26506000000000002</v>
      </c>
      <c r="G13" s="31">
        <v>0.23977999999999999</v>
      </c>
    </row>
    <row r="14" spans="1:7" x14ac:dyDescent="0.3">
      <c r="A14" s="195"/>
      <c r="B14" s="25" t="s">
        <v>112</v>
      </c>
      <c r="C14" s="21" t="s">
        <v>99</v>
      </c>
      <c r="D14" s="30">
        <v>0.17199</v>
      </c>
      <c r="E14" s="30">
        <v>0.21498999999999999</v>
      </c>
      <c r="F14" s="30">
        <v>0.25799</v>
      </c>
      <c r="G14" s="31">
        <v>0.21498999999999999</v>
      </c>
    </row>
    <row r="15" spans="1:7" x14ac:dyDescent="0.3">
      <c r="A15" s="195"/>
      <c r="B15" s="25" t="s">
        <v>113</v>
      </c>
      <c r="C15" s="21" t="s">
        <v>99</v>
      </c>
      <c r="D15" s="30">
        <v>0.17602000000000001</v>
      </c>
      <c r="E15" s="30">
        <v>0.23469000000000001</v>
      </c>
      <c r="F15" s="30">
        <v>0.29336000000000001</v>
      </c>
      <c r="G15" s="31">
        <v>0.25580999999999998</v>
      </c>
    </row>
    <row r="16" spans="1:7" x14ac:dyDescent="0.3">
      <c r="A16" s="195"/>
      <c r="B16" s="25" t="s">
        <v>114</v>
      </c>
      <c r="C16" s="21" t="s">
        <v>99</v>
      </c>
      <c r="D16" s="30">
        <v>0.17582999999999999</v>
      </c>
      <c r="E16" s="30">
        <v>0.23379</v>
      </c>
      <c r="F16" s="30">
        <v>0.29175000000000001</v>
      </c>
      <c r="G16" s="31">
        <v>0.25395000000000001</v>
      </c>
    </row>
    <row r="17" spans="1:7" x14ac:dyDescent="0.3">
      <c r="A17" s="196"/>
      <c r="B17" s="26" t="s">
        <v>115</v>
      </c>
      <c r="C17" s="23" t="s">
        <v>99</v>
      </c>
      <c r="D17" s="32">
        <v>0.1822</v>
      </c>
      <c r="E17" s="32">
        <v>0.23157</v>
      </c>
      <c r="F17" s="32">
        <v>0.28094999999999998</v>
      </c>
      <c r="G17" s="33">
        <v>0.24823999999999999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1157-5890-4EBA-B0AE-602E13F3870B}">
  <dimension ref="A1:G4"/>
  <sheetViews>
    <sheetView workbookViewId="0">
      <selection activeCell="A2" sqref="A2:A4"/>
    </sheetView>
  </sheetViews>
  <sheetFormatPr defaultRowHeight="14.4" x14ac:dyDescent="0.3"/>
  <cols>
    <col min="1" max="1" width="16.77734375" bestFit="1" customWidth="1"/>
    <col min="2" max="2" width="18" bestFit="1" customWidth="1"/>
    <col min="3" max="3" width="10" bestFit="1" customWidth="1"/>
    <col min="5" max="5" width="10.88671875" bestFit="1" customWidth="1"/>
    <col min="6" max="7" width="9.6640625" bestFit="1" customWidth="1"/>
  </cols>
  <sheetData>
    <row r="1" spans="1:7" x14ac:dyDescent="0.3">
      <c r="A1" t="s">
        <v>91</v>
      </c>
      <c r="B1" s="5" t="s">
        <v>92</v>
      </c>
      <c r="C1" s="5" t="s">
        <v>93</v>
      </c>
      <c r="D1" s="5" t="s">
        <v>117</v>
      </c>
      <c r="E1" s="5" t="s">
        <v>118</v>
      </c>
      <c r="F1" s="5" t="s">
        <v>119</v>
      </c>
      <c r="G1" s="5" t="s">
        <v>120</v>
      </c>
    </row>
    <row r="2" spans="1:7" x14ac:dyDescent="0.3">
      <c r="A2" s="194" t="s">
        <v>121</v>
      </c>
      <c r="B2" s="8" t="s">
        <v>122</v>
      </c>
      <c r="C2" s="8" t="s">
        <v>123</v>
      </c>
      <c r="D2" s="9">
        <v>0.13516</v>
      </c>
      <c r="E2" s="8">
        <v>0.13516</v>
      </c>
      <c r="F2" s="38"/>
      <c r="G2" s="39"/>
    </row>
    <row r="3" spans="1:7" x14ac:dyDescent="0.3">
      <c r="A3" s="195"/>
      <c r="B3" s="5" t="s">
        <v>126</v>
      </c>
      <c r="C3" s="5" t="s">
        <v>123</v>
      </c>
      <c r="D3" s="36"/>
      <c r="E3" s="36"/>
      <c r="F3" s="5">
        <v>0.25900000000000001</v>
      </c>
      <c r="G3" s="16">
        <v>0.20300000000000001</v>
      </c>
    </row>
    <row r="4" spans="1:7" x14ac:dyDescent="0.3">
      <c r="A4" s="196"/>
      <c r="B4" s="12" t="s">
        <v>127</v>
      </c>
      <c r="C4" s="12" t="s">
        <v>123</v>
      </c>
      <c r="D4" s="37"/>
      <c r="E4" s="37"/>
      <c r="F4" s="12">
        <v>0.315</v>
      </c>
      <c r="G4" s="17">
        <v>0.13100000000000001</v>
      </c>
    </row>
  </sheetData>
  <mergeCells count="1">
    <mergeCell ref="A2: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E775-85CC-45C0-893B-9A87883C486D}">
  <dimension ref="A1:D2"/>
  <sheetViews>
    <sheetView workbookViewId="0">
      <selection activeCell="F8" sqref="F8"/>
    </sheetView>
  </sheetViews>
  <sheetFormatPr defaultRowHeight="14.4" x14ac:dyDescent="0.3"/>
  <cols>
    <col min="1" max="1" width="18.109375" bestFit="1" customWidth="1"/>
    <col min="2" max="2" width="11.77734375" bestFit="1" customWidth="1"/>
    <col min="3" max="3" width="10" bestFit="1" customWidth="1"/>
    <col min="4" max="4" width="8.109375" bestFit="1" customWidth="1"/>
  </cols>
  <sheetData>
    <row r="1" spans="1:4" x14ac:dyDescent="0.3">
      <c r="A1" s="86" t="s">
        <v>91</v>
      </c>
      <c r="B1" s="85" t="s">
        <v>92</v>
      </c>
      <c r="C1" s="85" t="s">
        <v>93</v>
      </c>
      <c r="D1" s="85" t="s">
        <v>182</v>
      </c>
    </row>
    <row r="2" spans="1:4" x14ac:dyDescent="0.3">
      <c r="A2" s="82" t="s">
        <v>128</v>
      </c>
      <c r="B2" s="18" t="s">
        <v>129</v>
      </c>
      <c r="C2" s="18" t="s">
        <v>123</v>
      </c>
      <c r="D2" s="27">
        <v>6.9100000000000003E-3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B0C8-B8D2-4684-B32D-14EED3B83A5D}">
  <dimension ref="A1:E53"/>
  <sheetViews>
    <sheetView workbookViewId="0">
      <selection activeCell="F38" sqref="F38"/>
    </sheetView>
  </sheetViews>
  <sheetFormatPr defaultRowHeight="14.4" x14ac:dyDescent="0.3"/>
  <cols>
    <col min="1" max="1" width="15.6640625" customWidth="1"/>
    <col min="2" max="2" width="18.88671875" customWidth="1"/>
    <col min="3" max="3" width="24" bestFit="1" customWidth="1"/>
    <col min="4" max="4" width="10.109375" bestFit="1" customWidth="1"/>
  </cols>
  <sheetData>
    <row r="1" spans="1:5" x14ac:dyDescent="0.3">
      <c r="A1" s="194" t="s">
        <v>132</v>
      </c>
      <c r="B1" s="157" t="s">
        <v>133</v>
      </c>
      <c r="C1" s="9" t="s">
        <v>134</v>
      </c>
      <c r="D1" s="9" t="s">
        <v>123</v>
      </c>
      <c r="E1" s="10">
        <v>6.7000000000000002E-4</v>
      </c>
    </row>
    <row r="2" spans="1:5" x14ac:dyDescent="0.3">
      <c r="A2" s="195"/>
      <c r="B2" s="158"/>
      <c r="C2" s="7" t="s">
        <v>135</v>
      </c>
      <c r="D2" s="7" t="s">
        <v>123</v>
      </c>
      <c r="E2" s="11">
        <v>1.01E-3</v>
      </c>
    </row>
    <row r="3" spans="1:5" x14ac:dyDescent="0.3">
      <c r="A3" s="195"/>
      <c r="B3" s="158"/>
      <c r="C3" s="7" t="s">
        <v>136</v>
      </c>
      <c r="D3" s="7" t="s">
        <v>123</v>
      </c>
      <c r="E3" s="11">
        <v>1.3500000000000001E-3</v>
      </c>
    </row>
    <row r="4" spans="1:5" x14ac:dyDescent="0.3">
      <c r="A4" s="195"/>
      <c r="B4" s="158"/>
      <c r="C4" s="7" t="s">
        <v>137</v>
      </c>
      <c r="D4" s="7" t="s">
        <v>123</v>
      </c>
      <c r="E4" s="11">
        <v>1.72E-3</v>
      </c>
    </row>
    <row r="5" spans="1:5" x14ac:dyDescent="0.3">
      <c r="A5" s="195"/>
      <c r="B5" s="158"/>
      <c r="C5" s="7" t="s">
        <v>138</v>
      </c>
      <c r="D5" s="7" t="s">
        <v>123</v>
      </c>
      <c r="E5" s="11">
        <v>2.0899999999999998E-3</v>
      </c>
    </row>
    <row r="6" spans="1:5" x14ac:dyDescent="0.3">
      <c r="A6" s="195"/>
      <c r="B6" s="158"/>
      <c r="C6" s="7" t="s">
        <v>139</v>
      </c>
      <c r="D6" s="7" t="s">
        <v>123</v>
      </c>
      <c r="E6" s="11">
        <v>7.6400000000000001E-3</v>
      </c>
    </row>
    <row r="7" spans="1:5" x14ac:dyDescent="0.3">
      <c r="A7" s="195"/>
      <c r="B7" s="158"/>
      <c r="C7" s="7" t="s">
        <v>140</v>
      </c>
      <c r="D7" s="7" t="s">
        <v>123</v>
      </c>
      <c r="E7" s="11">
        <v>1.0399999999999999E-3</v>
      </c>
    </row>
    <row r="8" spans="1:5" x14ac:dyDescent="0.3">
      <c r="A8" s="195"/>
      <c r="B8" s="158" t="s">
        <v>141</v>
      </c>
      <c r="C8" s="7" t="s">
        <v>142</v>
      </c>
      <c r="D8" s="7" t="s">
        <v>123</v>
      </c>
      <c r="E8" s="11">
        <v>1.31E-3</v>
      </c>
    </row>
    <row r="9" spans="1:5" x14ac:dyDescent="0.3">
      <c r="A9" s="195"/>
      <c r="B9" s="158"/>
      <c r="C9" s="7" t="s">
        <v>143</v>
      </c>
      <c r="D9" s="7" t="s">
        <v>123</v>
      </c>
      <c r="E9" s="11">
        <v>2.3600000000000001E-3</v>
      </c>
    </row>
    <row r="10" spans="1:5" x14ac:dyDescent="0.3">
      <c r="A10" s="195"/>
      <c r="B10" s="158"/>
      <c r="C10" s="7" t="s">
        <v>144</v>
      </c>
      <c r="D10" s="7" t="s">
        <v>123</v>
      </c>
      <c r="E10" s="11">
        <v>4.2900000000000004E-3</v>
      </c>
    </row>
    <row r="11" spans="1:5" x14ac:dyDescent="0.3">
      <c r="A11" s="195"/>
      <c r="B11" s="158"/>
      <c r="C11" s="7" t="s">
        <v>145</v>
      </c>
      <c r="D11" s="7" t="s">
        <v>123</v>
      </c>
      <c r="E11" s="11">
        <v>6.7000000000000002E-3</v>
      </c>
    </row>
    <row r="12" spans="1:5" x14ac:dyDescent="0.3">
      <c r="A12" s="195"/>
      <c r="B12" s="158"/>
      <c r="C12" s="7" t="s">
        <v>146</v>
      </c>
      <c r="D12" s="7" t="s">
        <v>123</v>
      </c>
      <c r="E12" s="11">
        <v>1.0330000000000001E-2</v>
      </c>
    </row>
    <row r="13" spans="1:5" x14ac:dyDescent="0.3">
      <c r="A13" s="195"/>
      <c r="B13" s="158"/>
      <c r="C13" s="7" t="s">
        <v>140</v>
      </c>
      <c r="D13" s="7" t="s">
        <v>123</v>
      </c>
      <c r="E13" s="11">
        <v>2.0500000000000002E-3</v>
      </c>
    </row>
    <row r="14" spans="1:5" x14ac:dyDescent="0.3">
      <c r="A14" s="195"/>
      <c r="B14" s="158" t="s">
        <v>147</v>
      </c>
      <c r="C14" s="7" t="s">
        <v>148</v>
      </c>
      <c r="D14" s="7" t="s">
        <v>123</v>
      </c>
      <c r="E14" s="11">
        <v>1.9300000000000001E-3</v>
      </c>
    </row>
    <row r="15" spans="1:5" x14ac:dyDescent="0.3">
      <c r="A15" s="195"/>
      <c r="B15" s="158"/>
      <c r="C15" s="7" t="s">
        <v>144</v>
      </c>
      <c r="D15" s="7" t="s">
        <v>123</v>
      </c>
      <c r="E15" s="11">
        <v>2.48E-3</v>
      </c>
    </row>
    <row r="16" spans="1:5" x14ac:dyDescent="0.3">
      <c r="A16" s="195"/>
      <c r="B16" s="158"/>
      <c r="C16" s="7" t="s">
        <v>145</v>
      </c>
      <c r="D16" s="7" t="s">
        <v>123</v>
      </c>
      <c r="E16" s="11">
        <v>3.47E-3</v>
      </c>
    </row>
    <row r="17" spans="1:5" x14ac:dyDescent="0.3">
      <c r="A17" s="195"/>
      <c r="B17" s="158"/>
      <c r="C17" s="7" t="s">
        <v>146</v>
      </c>
      <c r="D17" s="7" t="s">
        <v>123</v>
      </c>
      <c r="E17" s="11">
        <v>5.1000000000000004E-3</v>
      </c>
    </row>
    <row r="18" spans="1:5" x14ac:dyDescent="0.3">
      <c r="A18" s="195"/>
      <c r="B18" s="158"/>
      <c r="C18" s="7" t="s">
        <v>140</v>
      </c>
      <c r="D18" s="7" t="s">
        <v>123</v>
      </c>
      <c r="E18" s="11">
        <v>2.3400000000000001E-3</v>
      </c>
    </row>
    <row r="19" spans="1:5" x14ac:dyDescent="0.3">
      <c r="A19" s="195"/>
      <c r="B19" s="158" t="s">
        <v>149</v>
      </c>
      <c r="C19" s="7" t="s">
        <v>150</v>
      </c>
      <c r="D19" s="7" t="s">
        <v>123</v>
      </c>
      <c r="E19" s="11">
        <v>2.14E-3</v>
      </c>
    </row>
    <row r="20" spans="1:5" x14ac:dyDescent="0.3">
      <c r="A20" s="195"/>
      <c r="B20" s="158"/>
      <c r="C20" s="7" t="s">
        <v>151</v>
      </c>
      <c r="D20" s="7" t="s">
        <v>123</v>
      </c>
      <c r="E20" s="11">
        <v>3.3300000000000001E-3</v>
      </c>
    </row>
    <row r="21" spans="1:5" x14ac:dyDescent="0.3">
      <c r="A21" s="195"/>
      <c r="B21" s="158"/>
      <c r="C21" s="7" t="s">
        <v>140</v>
      </c>
      <c r="D21" s="7" t="s">
        <v>123</v>
      </c>
      <c r="E21" s="11">
        <v>2.6199999999999999E-3</v>
      </c>
    </row>
    <row r="22" spans="1:5" x14ac:dyDescent="0.3">
      <c r="A22" s="195"/>
      <c r="B22" s="158" t="s">
        <v>152</v>
      </c>
      <c r="C22" s="7" t="s">
        <v>153</v>
      </c>
      <c r="D22" s="7" t="s">
        <v>123</v>
      </c>
      <c r="E22" s="11">
        <v>2.0699999999999998E-3</v>
      </c>
    </row>
    <row r="23" spans="1:5" x14ac:dyDescent="0.3">
      <c r="A23" s="195"/>
      <c r="B23" s="158"/>
      <c r="C23" s="7" t="s">
        <v>154</v>
      </c>
      <c r="D23" s="7" t="s">
        <v>123</v>
      </c>
      <c r="E23" s="11">
        <v>9.9900000000000006E-3</v>
      </c>
    </row>
    <row r="24" spans="1:5" x14ac:dyDescent="0.3">
      <c r="A24" s="196"/>
      <c r="B24" s="159"/>
      <c r="C24" s="13" t="s">
        <v>140</v>
      </c>
      <c r="D24" s="13" t="s">
        <v>123</v>
      </c>
      <c r="E24" s="14">
        <v>2.3500000000000001E-3</v>
      </c>
    </row>
    <row r="25" spans="1:5" x14ac:dyDescent="0.3">
      <c r="A25" s="197" t="s">
        <v>155</v>
      </c>
      <c r="B25" s="157" t="s">
        <v>156</v>
      </c>
      <c r="C25" s="9" t="s">
        <v>134</v>
      </c>
      <c r="D25" s="9" t="s">
        <v>123</v>
      </c>
      <c r="E25" s="10">
        <v>5.6999999999999998E-4</v>
      </c>
    </row>
    <row r="26" spans="1:5" ht="15" customHeight="1" x14ac:dyDescent="0.3">
      <c r="A26" s="198"/>
      <c r="B26" s="158"/>
      <c r="C26" s="7" t="s">
        <v>157</v>
      </c>
      <c r="D26" s="7" t="s">
        <v>123</v>
      </c>
      <c r="E26" s="11">
        <v>6.8999999999999997E-4</v>
      </c>
    </row>
    <row r="27" spans="1:5" x14ac:dyDescent="0.3">
      <c r="A27" s="198"/>
      <c r="B27" s="158"/>
      <c r="C27" s="7" t="s">
        <v>158</v>
      </c>
      <c r="D27" s="7" t="s">
        <v>123</v>
      </c>
      <c r="E27" s="11">
        <v>9.3999999999999997E-4</v>
      </c>
    </row>
    <row r="28" spans="1:5" x14ac:dyDescent="0.3">
      <c r="A28" s="198"/>
      <c r="B28" s="158"/>
      <c r="C28" s="7" t="s">
        <v>159</v>
      </c>
      <c r="D28" s="7" t="s">
        <v>123</v>
      </c>
      <c r="E28" s="11">
        <v>1.31E-3</v>
      </c>
    </row>
    <row r="29" spans="1:5" x14ac:dyDescent="0.3">
      <c r="A29" s="198"/>
      <c r="B29" s="158"/>
      <c r="C29" s="7" t="s">
        <v>160</v>
      </c>
      <c r="D29" s="7" t="s">
        <v>123</v>
      </c>
      <c r="E29" s="11">
        <v>1.81E-3</v>
      </c>
    </row>
    <row r="30" spans="1:5" x14ac:dyDescent="0.3">
      <c r="A30" s="198"/>
      <c r="B30" s="158"/>
      <c r="C30" s="7" t="s">
        <v>139</v>
      </c>
      <c r="D30" s="7" t="s">
        <v>123</v>
      </c>
      <c r="E30" s="11">
        <v>6.7000000000000002E-3</v>
      </c>
    </row>
    <row r="31" spans="1:5" x14ac:dyDescent="0.3">
      <c r="A31" s="198"/>
      <c r="B31" s="158"/>
      <c r="C31" s="7" t="s">
        <v>140</v>
      </c>
      <c r="D31" s="7" t="s">
        <v>123</v>
      </c>
      <c r="E31" s="11">
        <v>8.0000000000000004E-4</v>
      </c>
    </row>
    <row r="32" spans="1:5" x14ac:dyDescent="0.3">
      <c r="A32" s="198"/>
      <c r="B32" s="158" t="s">
        <v>161</v>
      </c>
      <c r="C32" s="7" t="s">
        <v>162</v>
      </c>
      <c r="D32" s="7" t="s">
        <v>123</v>
      </c>
      <c r="E32" s="11">
        <v>2.7299999999999998E-3</v>
      </c>
    </row>
    <row r="33" spans="1:5" ht="15" customHeight="1" x14ac:dyDescent="0.3">
      <c r="A33" s="198"/>
      <c r="B33" s="158"/>
      <c r="C33" s="7" t="s">
        <v>145</v>
      </c>
      <c r="D33" s="7" t="s">
        <v>123</v>
      </c>
      <c r="E33" s="11">
        <v>3.63E-3</v>
      </c>
    </row>
    <row r="34" spans="1:5" x14ac:dyDescent="0.3">
      <c r="A34" s="198"/>
      <c r="B34" s="158"/>
      <c r="C34" s="7" t="s">
        <v>146</v>
      </c>
      <c r="D34" s="7" t="s">
        <v>123</v>
      </c>
      <c r="E34" s="11">
        <v>3.1900000000000001E-3</v>
      </c>
    </row>
    <row r="35" spans="1:5" x14ac:dyDescent="0.3">
      <c r="A35" s="198"/>
      <c r="B35" s="158"/>
      <c r="C35" s="7" t="s">
        <v>163</v>
      </c>
      <c r="D35" s="7" t="s">
        <v>123</v>
      </c>
      <c r="E35" s="11">
        <v>2.5300000000000001E-3</v>
      </c>
    </row>
    <row r="36" spans="1:5" x14ac:dyDescent="0.3">
      <c r="A36" s="198"/>
      <c r="B36" s="158"/>
      <c r="C36" s="7" t="s">
        <v>164</v>
      </c>
      <c r="D36" s="7" t="s">
        <v>123</v>
      </c>
      <c r="E36" s="11">
        <v>4.0200000000000001E-3</v>
      </c>
    </row>
    <row r="37" spans="1:5" x14ac:dyDescent="0.3">
      <c r="A37" s="198"/>
      <c r="B37" s="158"/>
      <c r="C37" s="7" t="s">
        <v>165</v>
      </c>
      <c r="D37" s="7" t="s">
        <v>123</v>
      </c>
      <c r="E37" s="11">
        <v>4.5500000000000002E-3</v>
      </c>
    </row>
    <row r="38" spans="1:5" x14ac:dyDescent="0.3">
      <c r="A38" s="198"/>
      <c r="B38" s="158"/>
      <c r="C38" s="7" t="s">
        <v>140</v>
      </c>
      <c r="D38" s="7" t="s">
        <v>123</v>
      </c>
      <c r="E38" s="11">
        <v>3.0000000000000001E-3</v>
      </c>
    </row>
    <row r="39" spans="1:5" x14ac:dyDescent="0.3">
      <c r="A39" s="198"/>
      <c r="B39" s="158" t="s">
        <v>166</v>
      </c>
      <c r="C39" s="7" t="s">
        <v>167</v>
      </c>
      <c r="D39" s="7" t="s">
        <v>123</v>
      </c>
      <c r="E39" s="11">
        <v>2.8700000000000002E-3</v>
      </c>
    </row>
    <row r="40" spans="1:5" ht="15" customHeight="1" x14ac:dyDescent="0.3">
      <c r="A40" s="198"/>
      <c r="B40" s="158"/>
      <c r="C40" s="7" t="s">
        <v>168</v>
      </c>
      <c r="D40" s="7" t="s">
        <v>123</v>
      </c>
      <c r="E40" s="11">
        <v>3.81E-3</v>
      </c>
    </row>
    <row r="41" spans="1:5" x14ac:dyDescent="0.3">
      <c r="A41" s="198"/>
      <c r="B41" s="158"/>
      <c r="C41" s="7" t="s">
        <v>169</v>
      </c>
      <c r="D41" s="7" t="s">
        <v>123</v>
      </c>
      <c r="E41" s="11">
        <v>3.81E-3</v>
      </c>
    </row>
    <row r="42" spans="1:5" x14ac:dyDescent="0.3">
      <c r="A42" s="198"/>
      <c r="B42" s="158"/>
      <c r="C42" s="7" t="s">
        <v>170</v>
      </c>
      <c r="D42" s="7" t="s">
        <v>123</v>
      </c>
      <c r="E42" s="11">
        <v>4.5900000000000003E-3</v>
      </c>
    </row>
    <row r="43" spans="1:5" x14ac:dyDescent="0.3">
      <c r="A43" s="198"/>
      <c r="B43" s="158"/>
      <c r="C43" s="7" t="s">
        <v>171</v>
      </c>
      <c r="D43" s="7" t="s">
        <v>123</v>
      </c>
      <c r="E43" s="11">
        <v>7.3699999999999998E-3</v>
      </c>
    </row>
    <row r="44" spans="1:5" x14ac:dyDescent="0.3">
      <c r="A44" s="198"/>
      <c r="B44" s="158"/>
      <c r="C44" s="7" t="s">
        <v>172</v>
      </c>
      <c r="D44" s="7" t="s">
        <v>123</v>
      </c>
      <c r="E44" s="11">
        <v>8.3300000000000006E-3</v>
      </c>
    </row>
    <row r="45" spans="1:5" x14ac:dyDescent="0.3">
      <c r="A45" s="198"/>
      <c r="B45" s="158"/>
      <c r="C45" s="7" t="s">
        <v>140</v>
      </c>
      <c r="D45" s="7" t="s">
        <v>123</v>
      </c>
      <c r="E45" s="11">
        <v>3.65E-3</v>
      </c>
    </row>
    <row r="46" spans="1:5" x14ac:dyDescent="0.3">
      <c r="A46" s="198"/>
      <c r="B46" s="158" t="s">
        <v>173</v>
      </c>
      <c r="C46" s="7" t="s">
        <v>174</v>
      </c>
      <c r="D46" s="7" t="s">
        <v>123</v>
      </c>
      <c r="E46" s="11">
        <v>7.3499999999999998E-3</v>
      </c>
    </row>
    <row r="47" spans="1:5" ht="15" customHeight="1" x14ac:dyDescent="0.3">
      <c r="A47" s="198"/>
      <c r="B47" s="158"/>
      <c r="C47" s="7" t="s">
        <v>175</v>
      </c>
      <c r="D47" s="7" t="s">
        <v>123</v>
      </c>
      <c r="E47" s="11">
        <v>1.3220000000000001E-2</v>
      </c>
    </row>
    <row r="48" spans="1:5" x14ac:dyDescent="0.3">
      <c r="A48" s="198"/>
      <c r="B48" s="158"/>
      <c r="C48" s="7" t="s">
        <v>140</v>
      </c>
      <c r="D48" s="7" t="s">
        <v>123</v>
      </c>
      <c r="E48" s="11">
        <v>8.7299999999999999E-3</v>
      </c>
    </row>
    <row r="49" spans="1:5" x14ac:dyDescent="0.3">
      <c r="A49" s="198"/>
      <c r="B49" s="158" t="s">
        <v>176</v>
      </c>
      <c r="C49" s="7" t="s">
        <v>177</v>
      </c>
      <c r="D49" s="7" t="s">
        <v>123</v>
      </c>
      <c r="E49" s="11">
        <v>1.136E-2</v>
      </c>
    </row>
    <row r="50" spans="1:5" ht="15" customHeight="1" x14ac:dyDescent="0.3">
      <c r="A50" s="198"/>
      <c r="B50" s="158"/>
      <c r="C50" s="7" t="s">
        <v>178</v>
      </c>
      <c r="D50" s="7" t="s">
        <v>123</v>
      </c>
      <c r="E50" s="11">
        <v>1.384E-2</v>
      </c>
    </row>
    <row r="51" spans="1:5" x14ac:dyDescent="0.3">
      <c r="A51" s="198"/>
      <c r="B51" s="158"/>
      <c r="C51" s="7" t="s">
        <v>140</v>
      </c>
      <c r="D51" s="7" t="s">
        <v>123</v>
      </c>
      <c r="E51" s="11">
        <v>1.17E-2</v>
      </c>
    </row>
    <row r="52" spans="1:5" x14ac:dyDescent="0.3">
      <c r="A52" s="198"/>
      <c r="B52" s="19" t="s">
        <v>179</v>
      </c>
      <c r="C52" s="7" t="s">
        <v>140</v>
      </c>
      <c r="D52" s="7" t="s">
        <v>123</v>
      </c>
      <c r="E52" s="11">
        <v>8.5279999999999995E-2</v>
      </c>
    </row>
    <row r="53" spans="1:5" x14ac:dyDescent="0.3">
      <c r="A53" s="199"/>
      <c r="B53" s="20" t="s">
        <v>180</v>
      </c>
      <c r="C53" s="13" t="s">
        <v>181</v>
      </c>
      <c r="D53" s="13" t="s">
        <v>123</v>
      </c>
      <c r="E53" s="14">
        <v>2.96E-3</v>
      </c>
    </row>
  </sheetData>
  <mergeCells count="12">
    <mergeCell ref="B46:B48"/>
    <mergeCell ref="B49:B51"/>
    <mergeCell ref="A25:A53"/>
    <mergeCell ref="A1:A24"/>
    <mergeCell ref="B1:B7"/>
    <mergeCell ref="B8:B13"/>
    <mergeCell ref="B14:B18"/>
    <mergeCell ref="B19:B21"/>
    <mergeCell ref="B22:B24"/>
    <mergeCell ref="B25:B31"/>
    <mergeCell ref="B32:B38"/>
    <mergeCell ref="B39:B4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d42d2d-1c72-4cb3-961a-8eacd8eb79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1F11EEDDE384FB7C085565B41D8A3" ma:contentTypeVersion="13" ma:contentTypeDescription="Create a new document." ma:contentTypeScope="" ma:versionID="3f2110d999b2198ca905f709498fe5f1">
  <xsd:schema xmlns:xsd="http://www.w3.org/2001/XMLSchema" xmlns:xs="http://www.w3.org/2001/XMLSchema" xmlns:p="http://schemas.microsoft.com/office/2006/metadata/properties" xmlns:ns3="1cd42d2d-1c72-4cb3-961a-8eacd8eb79ad" xmlns:ns4="c4b714d6-5279-4714-9d1b-8fd92f2c755f" targetNamespace="http://schemas.microsoft.com/office/2006/metadata/properties" ma:root="true" ma:fieldsID="eb26693b7426f3e8708c7b5214bebf03" ns3:_="" ns4:_="">
    <xsd:import namespace="1cd42d2d-1c72-4cb3-961a-8eacd8eb79ad"/>
    <xsd:import namespace="c4b714d6-5279-4714-9d1b-8fd92f2c7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42d2d-1c72-4cb3-961a-8eacd8eb7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714d6-5279-4714-9d1b-8fd92f2c755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BDBB37-AD8B-40CA-8F27-3DEEC02D132C}">
  <ds:schemaRefs>
    <ds:schemaRef ds:uri="http://schemas.microsoft.com/office/2006/metadata/properties"/>
    <ds:schemaRef ds:uri="http://schemas.microsoft.com/office/infopath/2007/PartnerControls"/>
    <ds:schemaRef ds:uri="1cd42d2d-1c72-4cb3-961a-8eacd8eb79ad"/>
  </ds:schemaRefs>
</ds:datastoreItem>
</file>

<file path=customXml/itemProps2.xml><?xml version="1.0" encoding="utf-8"?>
<ds:datastoreItem xmlns:ds="http://schemas.openxmlformats.org/officeDocument/2006/customXml" ds:itemID="{D040ECB6-93F9-4808-A03A-B1CAE005D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42d2d-1c72-4cb3-961a-8eacd8eb79ad"/>
    <ds:schemaRef ds:uri="c4b714d6-5279-4714-9d1b-8fd92f2c7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F9F8EA-6182-46F4-95C0-EF389A4E85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Sheet</vt:lpstr>
      <vt:lpstr>Materials</vt:lpstr>
      <vt:lpstr>Transport WTT</vt:lpstr>
      <vt:lpstr>Transport</vt:lpstr>
      <vt:lpstr>Machine Types</vt:lpstr>
      <vt:lpstr>Recycling</vt:lpstr>
      <vt:lpstr>Packaging</vt:lpstr>
      <vt:lpstr>Manufacturing</vt:lpstr>
      <vt:lpstr>Test Page</vt:lpstr>
      <vt:lpstr>Transport Test Page</vt:lpstr>
      <vt:lpstr>Van</vt:lpstr>
      <vt:lpstr>HGV</vt:lpstr>
      <vt:lpstr>Freight Flight</vt:lpstr>
      <vt:lpstr>Rail</vt:lpstr>
      <vt:lpstr>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MIN KE DELVIN</dc:creator>
  <cp:keywords/>
  <dc:description/>
  <cp:lastModifiedBy>CHIDAMBARAM LOHITH ROSHAN</cp:lastModifiedBy>
  <cp:revision/>
  <dcterms:created xsi:type="dcterms:W3CDTF">2025-03-17T06:47:34Z</dcterms:created>
  <dcterms:modified xsi:type="dcterms:W3CDTF">2025-11-13T11:23:47Z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0x0101002421F11EEDDE384FB7C085565B41D8A3</vt:lpwstr>
  </property>
</Properties>
</file>